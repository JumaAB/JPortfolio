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y Frame Work\"/>
    </mc:Choice>
  </mc:AlternateContent>
  <xr:revisionPtr revIDLastSave="0" documentId="13_ncr:1_{A3959900-C9E2-4663-99DC-DCDF0A8FE4D9}" xr6:coauthVersionLast="47" xr6:coauthVersionMax="47" xr10:uidLastSave="{00000000-0000-0000-0000-000000000000}"/>
  <workbookProtection workbookAlgorithmName="SHA-512" workbookHashValue="yZX8LllLDldI5OHLDkRsOg89dCKRlJ54s44NG+QnzbBT65rmDsdelYOMmHhoEeC45MqFcZcO92dhadf1CACv6Q==" workbookSaltValue="/TK1Juy8LrG0oo7MRXN7Kw==" workbookSpinCount="100000" lockStructure="1"/>
  <bookViews>
    <workbookView xWindow="-120" yWindow="-120" windowWidth="20730" windowHeight="11160" tabRatio="593" activeTab="2" xr2:uid="{00000000-000D-0000-FFFF-FFFF00000000}"/>
  </bookViews>
  <sheets>
    <sheet name="Cover Page" sheetId="3" r:id="rId1"/>
    <sheet name="Source Data" sheetId="2" state="hidden" r:id="rId2"/>
    <sheet name="Financial Modelling" sheetId="1" r:id="rId3"/>
  </sheets>
  <definedNames>
    <definedName name="ASSASS">'Source Data'!$AN$8</definedName>
    <definedName name="ASSSASS">'Source Data'!$AN$10</definedName>
    <definedName name="BASSASS">'Source Data'!$AN$9</definedName>
    <definedName name="BMRTE">'Source Data'!$AC$13</definedName>
    <definedName name="BOLT">'Source Data'!$AL$10</definedName>
    <definedName name="BOMB">'Source Data'!$AM$13</definedName>
    <definedName name="COL">'Source Data'!$AL$9</definedName>
    <definedName name="COP">'Source Data'!$AM$12</definedName>
    <definedName name="CSDF6GH">'Source Data'!$AI$14</definedName>
    <definedName name="CVBCVFG">'Source Data'!$AF$13</definedName>
    <definedName name="CVBCVN">'Source Data'!$AG$14</definedName>
    <definedName name="CVBHF">'Source Data'!$AD$11</definedName>
    <definedName name="CVN">'Source Data'!$AC$9</definedName>
    <definedName name="DD435FDGG">'Source Data'!$AI$12</definedName>
    <definedName name="DF">'Source Data'!$AB$9</definedName>
    <definedName name="DFDF467DF">'Source Data'!$AH$11</definedName>
    <definedName name="DFF">'Source Data'!$AG$13</definedName>
    <definedName name="DFFG56X">'Source Data'!$V$14</definedName>
    <definedName name="DFG">'Source Data'!$X$11</definedName>
    <definedName name="DFGDF">'Source Data'!$W$14</definedName>
    <definedName name="DFGDG">'Source Data'!$AF$8</definedName>
    <definedName name="DFGF">'Source Data'!$Y$13</definedName>
    <definedName name="DFGFD">'Source Data'!$AG$10</definedName>
    <definedName name="DFGFD5564GHGF">'Source Data'!$AH$10</definedName>
    <definedName name="DFGFGH">'Source Data'!$Y$14</definedName>
    <definedName name="DFGHF">'Source Data'!$AH$8</definedName>
    <definedName name="DFHH">'Source Data'!$Y$12</definedName>
    <definedName name="DFHTR">'Source Data'!$AG$9</definedName>
    <definedName name="DFJH">'Source Data'!$V$9</definedName>
    <definedName name="DFJHK">'Source Data'!$V$10</definedName>
    <definedName name="DG34UIO">'Source Data'!$AI$13</definedName>
    <definedName name="DOM">'Source Data'!$AL$11</definedName>
    <definedName name="DSFSD">'Source Data'!$AH$13</definedName>
    <definedName name="ER456GR">'Source Data'!$AH$9</definedName>
    <definedName name="ER665RR">'Source Data'!$AH$14</definedName>
    <definedName name="ERER34FGFG">'Source Data'!$AH$12</definedName>
    <definedName name="ERR">'Source Data'!$V$11</definedName>
    <definedName name="ERRE">'Source Data'!$AD$13</definedName>
    <definedName name="ERT">'Source Data'!$AG$12</definedName>
    <definedName name="ERTYTR">'Source Data'!$AF$11</definedName>
    <definedName name="ERYRT">'Source Data'!$AF$9</definedName>
    <definedName name="ERYU84KS">'Source Data'!$T$12</definedName>
    <definedName name="EW45ER">'Source Data'!$AI$11</definedName>
    <definedName name="EWQ">'Source Data'!$Q$13</definedName>
    <definedName name="EWTWE346RR">'Source Data'!$AI$10</definedName>
    <definedName name="FDGD">'Source Data'!$AF$12</definedName>
    <definedName name="FDGFDG">'Source Data'!$AC$14</definedName>
    <definedName name="FG37J">'Source Data'!$V$8</definedName>
    <definedName name="FGH">'Source Data'!$W$12</definedName>
    <definedName name="FGHFG">'Source Data'!$Y$10</definedName>
    <definedName name="FGHFH">'Source Data'!$AD$14</definedName>
    <definedName name="FH">'Source Data'!$AG$8</definedName>
    <definedName name="FHFG">'Source Data'!$W$9</definedName>
    <definedName name="FNG">'Source Data'!$AA$14</definedName>
    <definedName name="FOB">'Source Data'!$AK$13</definedName>
    <definedName name="FOP">'Source Data'!$AL$14</definedName>
    <definedName name="GA">'Source Data'!$Q$14</definedName>
    <definedName name="GABA">'Source Data'!$R$8</definedName>
    <definedName name="GDF">'Source Data'!$X$8</definedName>
    <definedName name="GFF">'Source Data'!$AA$10</definedName>
    <definedName name="GH56Y">'Source Data'!$AI$9</definedName>
    <definedName name="GHJ">'Source Data'!$X$9</definedName>
    <definedName name="GHJHJ">'Source Data'!$AD$9</definedName>
    <definedName name="GHJJK">'Source Data'!$AB$8</definedName>
    <definedName name="GHU56D">'Source Data'!$V$13</definedName>
    <definedName name="GJ">'Source Data'!$AA$11</definedName>
    <definedName name="HAH">'Source Data'!$AM$8</definedName>
    <definedName name="HFDU37SI">'Source Data'!$T$11</definedName>
    <definedName name="HFGJH7839SDJHK">'Source Data'!$T$13</definedName>
    <definedName name="HGDFJH6G">'Source Data'!$T$14</definedName>
    <definedName name="HGH45T">'Source Data'!$V$12</definedName>
    <definedName name="HI">'Source Data'!$T$8</definedName>
    <definedName name="HJ">'Source Data'!$AA$9</definedName>
    <definedName name="HJK">'Source Data'!$Y$9</definedName>
    <definedName name="HOP">'Source Data'!$AN$12</definedName>
    <definedName name="HSJKLHK">'Source Data'!$R$13</definedName>
    <definedName name="IERYUI">'Source Data'!$S$14</definedName>
    <definedName name="JHDF">'Source Data'!$S$8</definedName>
    <definedName name="JKL">'Source Data'!$W$11</definedName>
    <definedName name="JKSDFK">'Source Data'!$S$13</definedName>
    <definedName name="JOB">'Source Data'!$AK$12</definedName>
    <definedName name="JUB">'Source Data'!$Q$8</definedName>
    <definedName name="JUMA">'Source Data'!$AK$8</definedName>
    <definedName name="KOP">'Source Data'!$AM$11</definedName>
    <definedName name="KSDJFJK">'Source Data'!$S$11</definedName>
    <definedName name="LOB">'Source Data'!$AK$14</definedName>
    <definedName name="MOP">'Source Data'!$AN$14</definedName>
    <definedName name="NOM">'Source Data'!$AK$11</definedName>
    <definedName name="NOP">'Source Data'!$AN$13</definedName>
    <definedName name="OIERUOI">'Source Data'!$T$9</definedName>
    <definedName name="OL">'Source Data'!$AL$8</definedName>
    <definedName name="OPPO">'Source Data'!$Q$9</definedName>
    <definedName name="QDDGF">'Source Data'!$AC$11</definedName>
    <definedName name="QW">'Source Data'!$AC$8</definedName>
    <definedName name="QWEWER">'Source Data'!$AC$10</definedName>
    <definedName name="RDFG">'Source Data'!$AB$13</definedName>
    <definedName name="ROB">'Source Data'!$AK$9</definedName>
    <definedName name="ROP">'Source Data'!$AM$9</definedName>
    <definedName name="RT">'Source Data'!$W$8</definedName>
    <definedName name="RTIOP">'Source Data'!$AC$12</definedName>
    <definedName name="RUI">'Source Data'!$R$10</definedName>
    <definedName name="SDF">'Source Data'!$X$14</definedName>
    <definedName name="SDFDFG">'Source Data'!$AD$12</definedName>
    <definedName name="SDFG756ASD">'Source Data'!$T$10</definedName>
    <definedName name="SDFJK">'Source Data'!$S$12</definedName>
    <definedName name="SDFSG">'Source Data'!$AF$14</definedName>
    <definedName name="SDJK">'Source Data'!$S$10</definedName>
    <definedName name="SDKJFH">'Source Data'!$S$9</definedName>
    <definedName name="SDLFKHKL">'Source Data'!$R$14</definedName>
    <definedName name="SDSG">'Source Data'!$AF$10</definedName>
    <definedName name="SOP">'Source Data'!$AM$10</definedName>
    <definedName name="TOB">'Source Data'!$Q$11</definedName>
    <definedName name="TOM">'Source Data'!$AK$10</definedName>
    <definedName name="TOP">'Source Data'!$AL$13</definedName>
    <definedName name="TOYP">'Source Data'!$AM$14</definedName>
    <definedName name="TRTYFG">'Source Data'!$AB$12</definedName>
    <definedName name="TRY">'Source Data'!$X$12</definedName>
    <definedName name="TRYTY">'Source Data'!$AA$12</definedName>
    <definedName name="TUI">'Source Data'!$R$11</definedName>
    <definedName name="TUO">'Source Data'!$R$9</definedName>
    <definedName name="TUY">'Source Data'!$W$10</definedName>
    <definedName name="TY">'Source Data'!$Q$10</definedName>
    <definedName name="TYRRT">'Source Data'!$Y$11</definedName>
    <definedName name="TYUD">'Source Data'!$X$10</definedName>
    <definedName name="VBHG">'Source Data'!$W$13</definedName>
    <definedName name="VCNBV">'Source Data'!$Y$8</definedName>
    <definedName name="WASSAAS">'Source Data'!$AN$11</definedName>
    <definedName name="WEERW">'Source Data'!$AD$10</definedName>
    <definedName name="WER">'Source Data'!$AA$13</definedName>
    <definedName name="WER456FDG">'Source Data'!$AA$8</definedName>
    <definedName name="WER68RT">'Source Data'!$AI$8</definedName>
    <definedName name="WERUIYIU">'Source Data'!$R$12</definedName>
    <definedName name="WERWER">'Source Data'!$AD$8</definedName>
    <definedName name="WOB">'Source Data'!$AL$12</definedName>
    <definedName name="Y">'Source Data'!$Q$12</definedName>
    <definedName name="YU">'Source Data'!$X$13</definedName>
    <definedName name="YUIU">'Source Data'!$AB$14</definedName>
    <definedName name="ZDFG">'Source Data'!$AG$11</definedName>
    <definedName name="ZSE">'Source Data'!$AB$11</definedName>
    <definedName name="ZXC">'Source Data'!$AB$10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81" i="1" l="1"/>
  <c r="F380" i="1"/>
  <c r="F288" i="1" s="1"/>
  <c r="B403" i="1"/>
  <c r="U368" i="1" l="1"/>
  <c r="U331" i="1" s="1"/>
  <c r="C299" i="2"/>
  <c r="C300" i="2"/>
  <c r="C298" i="2"/>
  <c r="C297" i="2"/>
  <c r="C296" i="2"/>
  <c r="P331" i="1"/>
  <c r="E424" i="1"/>
  <c r="F385" i="1"/>
  <c r="F289" i="1" s="1"/>
  <c r="F383" i="1"/>
  <c r="F292" i="1" s="1"/>
  <c r="F381" i="1"/>
  <c r="F290" i="1" s="1"/>
  <c r="B292" i="2"/>
  <c r="B291" i="2"/>
  <c r="D464" i="1"/>
  <c r="E464" i="1" s="1"/>
  <c r="J7" i="1"/>
  <c r="B466" i="1"/>
  <c r="B467" i="1" s="1"/>
  <c r="B286" i="2"/>
  <c r="Z331" i="1"/>
  <c r="K331" i="1"/>
  <c r="G424" i="1"/>
  <c r="D424" i="1"/>
  <c r="Z382" i="1"/>
  <c r="F304" i="1"/>
  <c r="Z383" i="1"/>
  <c r="U383" i="1"/>
  <c r="P383" i="1"/>
  <c r="K383" i="1"/>
  <c r="Z385" i="1"/>
  <c r="Z384" i="1"/>
  <c r="Z381" i="1"/>
  <c r="U385" i="1"/>
  <c r="U384" i="1"/>
  <c r="U381" i="1"/>
  <c r="U380" i="1"/>
  <c r="P385" i="1"/>
  <c r="P384" i="1"/>
  <c r="P381" i="1"/>
  <c r="P380" i="1"/>
  <c r="K385" i="1"/>
  <c r="K384" i="1"/>
  <c r="K380" i="1"/>
  <c r="K288" i="1" s="1"/>
  <c r="F384" i="1"/>
  <c r="F293" i="1" s="1"/>
  <c r="D411" i="1"/>
  <c r="F332" i="1"/>
  <c r="D285" i="2"/>
  <c r="D286" i="2" s="1"/>
  <c r="D287" i="2" s="1"/>
  <c r="D288" i="2" s="1"/>
  <c r="D289" i="2" s="1"/>
  <c r="D290" i="2" s="1"/>
  <c r="D291" i="2" s="1"/>
  <c r="D292" i="2" s="1"/>
  <c r="D293" i="2" s="1"/>
  <c r="C437" i="1"/>
  <c r="B415" i="1"/>
  <c r="C415" i="1" s="1"/>
  <c r="D415" i="1" s="1"/>
  <c r="E415" i="1" s="1"/>
  <c r="F415" i="1" s="1"/>
  <c r="G415" i="1" s="1"/>
  <c r="H415" i="1" s="1"/>
  <c r="D414" i="1"/>
  <c r="E414" i="1" s="1"/>
  <c r="J23" i="3"/>
  <c r="G249" i="1"/>
  <c r="H249" i="1"/>
  <c r="I249" i="1"/>
  <c r="J249" i="1"/>
  <c r="L249" i="1"/>
  <c r="M249" i="1"/>
  <c r="N249" i="1"/>
  <c r="O249" i="1"/>
  <c r="Q249" i="1"/>
  <c r="R249" i="1"/>
  <c r="S249" i="1"/>
  <c r="T249" i="1"/>
  <c r="V249" i="1"/>
  <c r="W249" i="1"/>
  <c r="X249" i="1"/>
  <c r="Y249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F250" i="1"/>
  <c r="K332" i="1"/>
  <c r="P332" i="1"/>
  <c r="U332" i="1"/>
  <c r="Z332" i="1"/>
  <c r="F424" i="1" l="1"/>
  <c r="K292" i="1"/>
  <c r="P292" i="1" s="1"/>
  <c r="U292" i="1" s="1"/>
  <c r="Z292" i="1" s="1"/>
  <c r="B468" i="1"/>
  <c r="B469" i="1" s="1"/>
  <c r="K293" i="1"/>
  <c r="P293" i="1" s="1"/>
  <c r="U293" i="1" s="1"/>
  <c r="Z293" i="1" s="1"/>
  <c r="P288" i="1"/>
  <c r="U288" i="1" s="1"/>
  <c r="Z288" i="1" s="1"/>
  <c r="K290" i="1"/>
  <c r="P290" i="1" s="1"/>
  <c r="U290" i="1" s="1"/>
  <c r="Z290" i="1" s="1"/>
  <c r="K289" i="1"/>
  <c r="P289" i="1" s="1"/>
  <c r="U289" i="1" s="1"/>
  <c r="Z289" i="1" s="1"/>
  <c r="K361" i="1"/>
  <c r="K382" i="1" s="1"/>
  <c r="K271" i="1" s="1"/>
  <c r="U361" i="1"/>
  <c r="U382" i="1" s="1"/>
  <c r="U271" i="1" s="1"/>
  <c r="B283" i="2"/>
  <c r="P361" i="1"/>
  <c r="P382" i="1" s="1"/>
  <c r="P271" i="1" s="1"/>
  <c r="F368" i="1"/>
  <c r="Z386" i="1"/>
  <c r="Z271" i="1"/>
  <c r="G417" i="1"/>
  <c r="F417" i="1"/>
  <c r="E417" i="1"/>
  <c r="C417" i="1"/>
  <c r="D417" i="1"/>
  <c r="Z333" i="1"/>
  <c r="F414" i="1"/>
  <c r="E437" i="1"/>
  <c r="D437" i="1"/>
  <c r="B400" i="1"/>
  <c r="B399" i="1"/>
  <c r="U333" i="1"/>
  <c r="P333" i="1"/>
  <c r="K333" i="1"/>
  <c r="G305" i="1"/>
  <c r="L305" i="1"/>
  <c r="Q305" i="1"/>
  <c r="V305" i="1"/>
  <c r="F382" i="1" l="1"/>
  <c r="F271" i="1" s="1"/>
  <c r="F325" i="1" s="1"/>
  <c r="F338" i="1"/>
  <c r="B410" i="1"/>
  <c r="K423" i="1" s="1"/>
  <c r="K386" i="1"/>
  <c r="U386" i="1"/>
  <c r="P386" i="1"/>
  <c r="H283" i="2"/>
  <c r="F284" i="2" s="1"/>
  <c r="F63" i="1" s="1"/>
  <c r="B285" i="2"/>
  <c r="F331" i="1"/>
  <c r="F333" i="1" s="1"/>
  <c r="C424" i="1"/>
  <c r="P325" i="1"/>
  <c r="E423" i="1"/>
  <c r="U325" i="1"/>
  <c r="F423" i="1"/>
  <c r="Z325" i="1"/>
  <c r="G423" i="1"/>
  <c r="C423" i="1"/>
  <c r="K325" i="1"/>
  <c r="D423" i="1"/>
  <c r="G414" i="1"/>
  <c r="G437" i="1" s="1"/>
  <c r="F437" i="1"/>
  <c r="D238" i="1"/>
  <c r="E238" i="1"/>
  <c r="F238" i="1"/>
  <c r="I238" i="1"/>
  <c r="J238" i="1"/>
  <c r="K238" i="1"/>
  <c r="N238" i="1"/>
  <c r="O238" i="1"/>
  <c r="P238" i="1"/>
  <c r="S238" i="1"/>
  <c r="T238" i="1"/>
  <c r="U238" i="1"/>
  <c r="X238" i="1"/>
  <c r="Y238" i="1"/>
  <c r="Z238" i="1"/>
  <c r="D239" i="1"/>
  <c r="E239" i="1"/>
  <c r="F239" i="1"/>
  <c r="I239" i="1"/>
  <c r="J239" i="1"/>
  <c r="N239" i="1"/>
  <c r="O239" i="1"/>
  <c r="S239" i="1"/>
  <c r="T239" i="1"/>
  <c r="X239" i="1"/>
  <c r="Y239" i="1"/>
  <c r="D240" i="1"/>
  <c r="E240" i="1"/>
  <c r="F240" i="1"/>
  <c r="I240" i="1"/>
  <c r="J240" i="1"/>
  <c r="N240" i="1"/>
  <c r="O240" i="1"/>
  <c r="S240" i="1"/>
  <c r="T240" i="1"/>
  <c r="X240" i="1"/>
  <c r="Y240" i="1"/>
  <c r="D241" i="1"/>
  <c r="E241" i="1"/>
  <c r="F241" i="1"/>
  <c r="I241" i="1"/>
  <c r="J241" i="1"/>
  <c r="N241" i="1"/>
  <c r="O241" i="1"/>
  <c r="S241" i="1"/>
  <c r="T241" i="1"/>
  <c r="X241" i="1"/>
  <c r="Y241" i="1"/>
  <c r="D242" i="1"/>
  <c r="E242" i="1"/>
  <c r="I242" i="1"/>
  <c r="J242" i="1"/>
  <c r="N242" i="1"/>
  <c r="O242" i="1"/>
  <c r="S242" i="1"/>
  <c r="T242" i="1"/>
  <c r="X242" i="1"/>
  <c r="Y242" i="1"/>
  <c r="D243" i="1"/>
  <c r="E243" i="1"/>
  <c r="F243" i="1"/>
  <c r="I243" i="1"/>
  <c r="J243" i="1"/>
  <c r="K243" i="1"/>
  <c r="N243" i="1"/>
  <c r="O243" i="1"/>
  <c r="P243" i="1"/>
  <c r="S243" i="1"/>
  <c r="T243" i="1"/>
  <c r="U243" i="1"/>
  <c r="X243" i="1"/>
  <c r="Y243" i="1"/>
  <c r="Z243" i="1"/>
  <c r="D244" i="1"/>
  <c r="E244" i="1"/>
  <c r="F244" i="1"/>
  <c r="I244" i="1"/>
  <c r="J244" i="1"/>
  <c r="K244" i="1"/>
  <c r="N244" i="1"/>
  <c r="O244" i="1"/>
  <c r="P244" i="1"/>
  <c r="S244" i="1"/>
  <c r="T244" i="1"/>
  <c r="U244" i="1"/>
  <c r="X244" i="1"/>
  <c r="Y244" i="1"/>
  <c r="Z244" i="1"/>
  <c r="D245" i="1"/>
  <c r="E245" i="1"/>
  <c r="F245" i="1"/>
  <c r="I245" i="1"/>
  <c r="J245" i="1"/>
  <c r="N245" i="1"/>
  <c r="O245" i="1"/>
  <c r="S245" i="1"/>
  <c r="T245" i="1"/>
  <c r="X245" i="1"/>
  <c r="Y245" i="1"/>
  <c r="D246" i="1"/>
  <c r="E246" i="1"/>
  <c r="F246" i="1"/>
  <c r="I246" i="1"/>
  <c r="J246" i="1"/>
  <c r="K246" i="1"/>
  <c r="N246" i="1"/>
  <c r="O246" i="1"/>
  <c r="P246" i="1"/>
  <c r="S246" i="1"/>
  <c r="T246" i="1"/>
  <c r="U246" i="1"/>
  <c r="X246" i="1"/>
  <c r="Y246" i="1"/>
  <c r="Z246" i="1"/>
  <c r="C239" i="1"/>
  <c r="C240" i="1"/>
  <c r="C241" i="1"/>
  <c r="C242" i="1"/>
  <c r="C243" i="1"/>
  <c r="C244" i="1"/>
  <c r="C245" i="1"/>
  <c r="C246" i="1"/>
  <c r="C238" i="1"/>
  <c r="E225" i="1"/>
  <c r="F225" i="1"/>
  <c r="I225" i="1"/>
  <c r="J225" i="1"/>
  <c r="K225" i="1"/>
  <c r="N225" i="1"/>
  <c r="O225" i="1"/>
  <c r="P225" i="1"/>
  <c r="S225" i="1"/>
  <c r="T225" i="1"/>
  <c r="U225" i="1"/>
  <c r="X225" i="1"/>
  <c r="Y225" i="1"/>
  <c r="Z225" i="1"/>
  <c r="E226" i="1"/>
  <c r="I226" i="1"/>
  <c r="J226" i="1"/>
  <c r="N226" i="1"/>
  <c r="O226" i="1"/>
  <c r="S226" i="1"/>
  <c r="T226" i="1"/>
  <c r="X226" i="1"/>
  <c r="Y226" i="1"/>
  <c r="E227" i="1"/>
  <c r="F227" i="1"/>
  <c r="I227" i="1"/>
  <c r="J227" i="1"/>
  <c r="K227" i="1"/>
  <c r="N227" i="1"/>
  <c r="O227" i="1"/>
  <c r="P227" i="1"/>
  <c r="S227" i="1"/>
  <c r="T227" i="1"/>
  <c r="U227" i="1"/>
  <c r="X227" i="1"/>
  <c r="Y227" i="1"/>
  <c r="Z227" i="1"/>
  <c r="E228" i="1"/>
  <c r="I228" i="1"/>
  <c r="J228" i="1"/>
  <c r="N228" i="1"/>
  <c r="O228" i="1"/>
  <c r="S228" i="1"/>
  <c r="T228" i="1"/>
  <c r="X228" i="1"/>
  <c r="Y228" i="1"/>
  <c r="E229" i="1"/>
  <c r="I229" i="1"/>
  <c r="J229" i="1"/>
  <c r="N229" i="1"/>
  <c r="O229" i="1"/>
  <c r="S229" i="1"/>
  <c r="T229" i="1"/>
  <c r="X229" i="1"/>
  <c r="Y229" i="1"/>
  <c r="E230" i="1"/>
  <c r="F230" i="1"/>
  <c r="I230" i="1"/>
  <c r="J230" i="1"/>
  <c r="K230" i="1"/>
  <c r="N230" i="1"/>
  <c r="O230" i="1"/>
  <c r="P230" i="1"/>
  <c r="S230" i="1"/>
  <c r="T230" i="1"/>
  <c r="U230" i="1"/>
  <c r="X230" i="1"/>
  <c r="Y230" i="1"/>
  <c r="Z230" i="1"/>
  <c r="E231" i="1"/>
  <c r="I231" i="1"/>
  <c r="J231" i="1"/>
  <c r="N231" i="1"/>
  <c r="O231" i="1"/>
  <c r="S231" i="1"/>
  <c r="T231" i="1"/>
  <c r="X231" i="1"/>
  <c r="Y231" i="1"/>
  <c r="E232" i="1"/>
  <c r="I232" i="1"/>
  <c r="J232" i="1"/>
  <c r="N232" i="1"/>
  <c r="O232" i="1"/>
  <c r="S232" i="1"/>
  <c r="T232" i="1"/>
  <c r="X232" i="1"/>
  <c r="Y232" i="1"/>
  <c r="E233" i="1"/>
  <c r="I233" i="1"/>
  <c r="J233" i="1"/>
  <c r="N233" i="1"/>
  <c r="O233" i="1"/>
  <c r="S233" i="1"/>
  <c r="T233" i="1"/>
  <c r="X233" i="1"/>
  <c r="Y233" i="1"/>
  <c r="E234" i="1"/>
  <c r="I234" i="1"/>
  <c r="J234" i="1"/>
  <c r="N234" i="1"/>
  <c r="O234" i="1"/>
  <c r="S234" i="1"/>
  <c r="T234" i="1"/>
  <c r="X234" i="1"/>
  <c r="Y234" i="1"/>
  <c r="D226" i="1"/>
  <c r="D227" i="1"/>
  <c r="D228" i="1"/>
  <c r="D229" i="1"/>
  <c r="D230" i="1"/>
  <c r="D231" i="1"/>
  <c r="D232" i="1"/>
  <c r="D233" i="1"/>
  <c r="D234" i="1"/>
  <c r="D225" i="1"/>
  <c r="Z183" i="1"/>
  <c r="U183" i="1"/>
  <c r="P183" i="1"/>
  <c r="K183" i="1"/>
  <c r="Z180" i="1"/>
  <c r="U180" i="1"/>
  <c r="P180" i="1"/>
  <c r="K180" i="1"/>
  <c r="F180" i="1"/>
  <c r="F185" i="1" s="1"/>
  <c r="Z179" i="1"/>
  <c r="U179" i="1"/>
  <c r="P179" i="1"/>
  <c r="K179" i="1"/>
  <c r="Z178" i="1"/>
  <c r="U178" i="1"/>
  <c r="P178" i="1"/>
  <c r="K178" i="1"/>
  <c r="Z177" i="1"/>
  <c r="U177" i="1"/>
  <c r="P177" i="1"/>
  <c r="K177" i="1"/>
  <c r="Z172" i="1"/>
  <c r="U172" i="1"/>
  <c r="P172" i="1"/>
  <c r="K172" i="1"/>
  <c r="F172" i="1"/>
  <c r="Z171" i="1"/>
  <c r="U171" i="1"/>
  <c r="P171" i="1"/>
  <c r="K171" i="1"/>
  <c r="F171" i="1"/>
  <c r="Z170" i="1"/>
  <c r="U170" i="1"/>
  <c r="P170" i="1"/>
  <c r="K170" i="1"/>
  <c r="F170" i="1"/>
  <c r="Z169" i="1"/>
  <c r="U169" i="1"/>
  <c r="P169" i="1"/>
  <c r="K169" i="1"/>
  <c r="F169" i="1"/>
  <c r="Z167" i="1"/>
  <c r="U167" i="1"/>
  <c r="P167" i="1"/>
  <c r="K167" i="1"/>
  <c r="F167" i="1"/>
  <c r="Z166" i="1"/>
  <c r="U166" i="1"/>
  <c r="P166" i="1"/>
  <c r="K166" i="1"/>
  <c r="F166" i="1"/>
  <c r="Z164" i="1"/>
  <c r="U164" i="1"/>
  <c r="P164" i="1"/>
  <c r="K164" i="1"/>
  <c r="F164" i="1"/>
  <c r="Z121" i="1"/>
  <c r="U121" i="1"/>
  <c r="P121" i="1"/>
  <c r="K121" i="1"/>
  <c r="Z118" i="1"/>
  <c r="U118" i="1"/>
  <c r="P118" i="1"/>
  <c r="K118" i="1"/>
  <c r="F118" i="1"/>
  <c r="F123" i="1" s="1"/>
  <c r="Z117" i="1"/>
  <c r="U117" i="1"/>
  <c r="P117" i="1"/>
  <c r="K117" i="1"/>
  <c r="Z116" i="1"/>
  <c r="U116" i="1"/>
  <c r="P116" i="1"/>
  <c r="K116" i="1"/>
  <c r="Z115" i="1"/>
  <c r="U115" i="1"/>
  <c r="P115" i="1"/>
  <c r="K115" i="1"/>
  <c r="Z110" i="1"/>
  <c r="U110" i="1"/>
  <c r="P110" i="1"/>
  <c r="K110" i="1"/>
  <c r="F110" i="1"/>
  <c r="Z109" i="1"/>
  <c r="U109" i="1"/>
  <c r="P109" i="1"/>
  <c r="K109" i="1"/>
  <c r="F109" i="1"/>
  <c r="Z108" i="1"/>
  <c r="U108" i="1"/>
  <c r="P108" i="1"/>
  <c r="K108" i="1"/>
  <c r="F108" i="1"/>
  <c r="Z107" i="1"/>
  <c r="U107" i="1"/>
  <c r="P107" i="1"/>
  <c r="K107" i="1"/>
  <c r="F107" i="1"/>
  <c r="Z105" i="1"/>
  <c r="U105" i="1"/>
  <c r="P105" i="1"/>
  <c r="K105" i="1"/>
  <c r="F105" i="1"/>
  <c r="Z104" i="1"/>
  <c r="U104" i="1"/>
  <c r="P104" i="1"/>
  <c r="K104" i="1"/>
  <c r="F104" i="1"/>
  <c r="Z102" i="1"/>
  <c r="U102" i="1"/>
  <c r="P102" i="1"/>
  <c r="K102" i="1"/>
  <c r="F102" i="1"/>
  <c r="Z4" i="1"/>
  <c r="U4" i="1"/>
  <c r="P4" i="1"/>
  <c r="K4" i="1"/>
  <c r="J131" i="1"/>
  <c r="J132" i="1" s="1"/>
  <c r="O132" i="1" s="1"/>
  <c r="T132" i="1" s="1"/>
  <c r="Y132" i="1" s="1"/>
  <c r="J69" i="1"/>
  <c r="J70" i="1" s="1"/>
  <c r="O70" i="1" s="1"/>
  <c r="T70" i="1" s="1"/>
  <c r="Y70" i="1" s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X221" i="1"/>
  <c r="X220" i="1"/>
  <c r="X219" i="1"/>
  <c r="X215" i="1"/>
  <c r="X214" i="1"/>
  <c r="Z214" i="1" s="1"/>
  <c r="X213" i="1"/>
  <c r="Z213" i="1" s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S221" i="1"/>
  <c r="S220" i="1"/>
  <c r="S219" i="1"/>
  <c r="S215" i="1"/>
  <c r="S214" i="1"/>
  <c r="U214" i="1" s="1"/>
  <c r="S213" i="1"/>
  <c r="U213" i="1" s="1"/>
  <c r="S212" i="1"/>
  <c r="S211" i="1"/>
  <c r="S210" i="1"/>
  <c r="S209" i="1"/>
  <c r="S208" i="1"/>
  <c r="S207" i="1"/>
  <c r="S206" i="1"/>
  <c r="S205" i="1"/>
  <c r="S204" i="1"/>
  <c r="N221" i="1"/>
  <c r="N220" i="1"/>
  <c r="N219" i="1"/>
  <c r="N215" i="1"/>
  <c r="N214" i="1"/>
  <c r="N213" i="1"/>
  <c r="I204" i="1"/>
  <c r="I221" i="1"/>
  <c r="I220" i="1"/>
  <c r="I219" i="1"/>
  <c r="I215" i="1"/>
  <c r="I214" i="1"/>
  <c r="K214" i="1" s="1"/>
  <c r="I213" i="1"/>
  <c r="K213" i="1" s="1"/>
  <c r="I212" i="1"/>
  <c r="I211" i="1"/>
  <c r="I210" i="1"/>
  <c r="I209" i="1"/>
  <c r="I208" i="1"/>
  <c r="I207" i="1"/>
  <c r="I206" i="1"/>
  <c r="I205" i="1"/>
  <c r="D205" i="1"/>
  <c r="D206" i="1"/>
  <c r="D207" i="1"/>
  <c r="D208" i="1"/>
  <c r="D209" i="1"/>
  <c r="D210" i="1"/>
  <c r="D211" i="1"/>
  <c r="D212" i="1"/>
  <c r="D213" i="1"/>
  <c r="F213" i="1" s="1"/>
  <c r="D214" i="1"/>
  <c r="F214" i="1" s="1"/>
  <c r="D215" i="1"/>
  <c r="D219" i="1"/>
  <c r="D220" i="1"/>
  <c r="D221" i="1"/>
  <c r="D204" i="1"/>
  <c r="J137" i="1"/>
  <c r="O137" i="1" s="1"/>
  <c r="T137" i="1" s="1"/>
  <c r="Y137" i="1" s="1"/>
  <c r="J138" i="1"/>
  <c r="O138" i="1" s="1"/>
  <c r="T138" i="1" s="1"/>
  <c r="Y138" i="1" s="1"/>
  <c r="J136" i="1"/>
  <c r="O136" i="1" s="1"/>
  <c r="T136" i="1" s="1"/>
  <c r="Y136" i="1" s="1"/>
  <c r="J134" i="1"/>
  <c r="O134" i="1" s="1"/>
  <c r="T134" i="1" s="1"/>
  <c r="Y134" i="1" s="1"/>
  <c r="J135" i="1"/>
  <c r="O135" i="1" s="1"/>
  <c r="T135" i="1" s="1"/>
  <c r="Y135" i="1" s="1"/>
  <c r="J133" i="1"/>
  <c r="O133" i="1" s="1"/>
  <c r="T133" i="1" s="1"/>
  <c r="Y133" i="1" s="1"/>
  <c r="I137" i="1"/>
  <c r="N137" i="1" s="1"/>
  <c r="S137" i="1" s="1"/>
  <c r="X137" i="1" s="1"/>
  <c r="I138" i="1"/>
  <c r="N138" i="1" s="1"/>
  <c r="S138" i="1" s="1"/>
  <c r="X138" i="1" s="1"/>
  <c r="I136" i="1"/>
  <c r="N136" i="1" s="1"/>
  <c r="S136" i="1" s="1"/>
  <c r="X136" i="1" s="1"/>
  <c r="I134" i="1"/>
  <c r="N134" i="1" s="1"/>
  <c r="S134" i="1" s="1"/>
  <c r="X134" i="1" s="1"/>
  <c r="I135" i="1"/>
  <c r="N135" i="1" s="1"/>
  <c r="S135" i="1" s="1"/>
  <c r="X135" i="1" s="1"/>
  <c r="I133" i="1"/>
  <c r="N133" i="1" s="1"/>
  <c r="S133" i="1" s="1"/>
  <c r="X133" i="1" s="1"/>
  <c r="H137" i="1"/>
  <c r="H138" i="1"/>
  <c r="M138" i="1" s="1"/>
  <c r="H136" i="1"/>
  <c r="M136" i="1" s="1"/>
  <c r="H134" i="1"/>
  <c r="M134" i="1" s="1"/>
  <c r="H135" i="1"/>
  <c r="M135" i="1" s="1"/>
  <c r="H133" i="1"/>
  <c r="H74" i="1"/>
  <c r="M74" i="1" s="1"/>
  <c r="R74" i="1" s="1"/>
  <c r="J74" i="1"/>
  <c r="O74" i="1" s="1"/>
  <c r="T74" i="1" s="1"/>
  <c r="Y74" i="1" s="1"/>
  <c r="J75" i="1"/>
  <c r="O75" i="1" s="1"/>
  <c r="T75" i="1" s="1"/>
  <c r="Y75" i="1" s="1"/>
  <c r="J76" i="1"/>
  <c r="O76" i="1" s="1"/>
  <c r="T76" i="1" s="1"/>
  <c r="Y76" i="1" s="1"/>
  <c r="J72" i="1"/>
  <c r="O72" i="1" s="1"/>
  <c r="T72" i="1" s="1"/>
  <c r="Y72" i="1" s="1"/>
  <c r="J73" i="1"/>
  <c r="O73" i="1" s="1"/>
  <c r="T73" i="1" s="1"/>
  <c r="Y73" i="1" s="1"/>
  <c r="J71" i="1"/>
  <c r="O71" i="1" s="1"/>
  <c r="T71" i="1" s="1"/>
  <c r="Y71" i="1" s="1"/>
  <c r="H72" i="1"/>
  <c r="M72" i="1" s="1"/>
  <c r="I72" i="1"/>
  <c r="H71" i="1"/>
  <c r="M71" i="1" s="1"/>
  <c r="I75" i="1"/>
  <c r="I76" i="1"/>
  <c r="I74" i="1"/>
  <c r="I73" i="1"/>
  <c r="I71" i="1"/>
  <c r="H76" i="1"/>
  <c r="M76" i="1" s="1"/>
  <c r="H75" i="1"/>
  <c r="M75" i="1" s="1"/>
  <c r="H73" i="1"/>
  <c r="M73" i="1" s="1"/>
  <c r="Z67" i="1"/>
  <c r="U67" i="1"/>
  <c r="P67" i="1"/>
  <c r="K67" i="1"/>
  <c r="F67" i="1"/>
  <c r="Z59" i="1"/>
  <c r="U59" i="1"/>
  <c r="P59" i="1"/>
  <c r="K59" i="1"/>
  <c r="Z56" i="1"/>
  <c r="U56" i="1"/>
  <c r="P56" i="1"/>
  <c r="K56" i="1"/>
  <c r="F56" i="1"/>
  <c r="F61" i="1" s="1"/>
  <c r="Z55" i="1"/>
  <c r="U55" i="1"/>
  <c r="P55" i="1"/>
  <c r="K55" i="1"/>
  <c r="Z54" i="1"/>
  <c r="U54" i="1"/>
  <c r="P54" i="1"/>
  <c r="K54" i="1"/>
  <c r="Z53" i="1"/>
  <c r="U53" i="1"/>
  <c r="P53" i="1"/>
  <c r="K53" i="1"/>
  <c r="Z48" i="1"/>
  <c r="U48" i="1"/>
  <c r="P48" i="1"/>
  <c r="K48" i="1"/>
  <c r="F48" i="1"/>
  <c r="Z47" i="1"/>
  <c r="U47" i="1"/>
  <c r="P47" i="1"/>
  <c r="K47" i="1"/>
  <c r="F47" i="1"/>
  <c r="Z46" i="1"/>
  <c r="U46" i="1"/>
  <c r="P46" i="1"/>
  <c r="K46" i="1"/>
  <c r="F46" i="1"/>
  <c r="Z45" i="1"/>
  <c r="U45" i="1"/>
  <c r="P45" i="1"/>
  <c r="K45" i="1"/>
  <c r="F45" i="1"/>
  <c r="Z43" i="1"/>
  <c r="U43" i="1"/>
  <c r="P43" i="1"/>
  <c r="K43" i="1"/>
  <c r="F43" i="1"/>
  <c r="Z42" i="1"/>
  <c r="U42" i="1"/>
  <c r="P42" i="1"/>
  <c r="K42" i="1"/>
  <c r="F42" i="1"/>
  <c r="Z40" i="1"/>
  <c r="U40" i="1"/>
  <c r="P40" i="1"/>
  <c r="K40" i="1"/>
  <c r="F40" i="1"/>
  <c r="Z35" i="1"/>
  <c r="U35" i="1"/>
  <c r="P35" i="1"/>
  <c r="K35" i="1"/>
  <c r="F35" i="1"/>
  <c r="Z34" i="1"/>
  <c r="U34" i="1"/>
  <c r="P34" i="1"/>
  <c r="K34" i="1"/>
  <c r="F34" i="1"/>
  <c r="Z33" i="1"/>
  <c r="U33" i="1"/>
  <c r="P33" i="1"/>
  <c r="K33" i="1"/>
  <c r="F33" i="1"/>
  <c r="S32" i="1"/>
  <c r="U32" i="1" s="1"/>
  <c r="D32" i="1"/>
  <c r="F32" i="1" s="1"/>
  <c r="A32" i="1"/>
  <c r="S31" i="1"/>
  <c r="U31" i="1" s="1"/>
  <c r="D31" i="1"/>
  <c r="F31" i="1" s="1"/>
  <c r="A31" i="1"/>
  <c r="S30" i="1"/>
  <c r="U30" i="1" s="1"/>
  <c r="D30" i="1"/>
  <c r="F30" i="1" s="1"/>
  <c r="Z28" i="1"/>
  <c r="U28" i="1"/>
  <c r="P28" i="1"/>
  <c r="K28" i="1"/>
  <c r="F28" i="1"/>
  <c r="Z27" i="1"/>
  <c r="U27" i="1"/>
  <c r="P27" i="1"/>
  <c r="K27" i="1"/>
  <c r="F27" i="1"/>
  <c r="X26" i="1"/>
  <c r="Z26" i="1" s="1"/>
  <c r="U26" i="1"/>
  <c r="N26" i="1"/>
  <c r="P26" i="1" s="1"/>
  <c r="K26" i="1"/>
  <c r="F26" i="1"/>
  <c r="X25" i="1"/>
  <c r="Z25" i="1" s="1"/>
  <c r="U25" i="1"/>
  <c r="N25" i="1"/>
  <c r="P25" i="1" s="1"/>
  <c r="K25" i="1"/>
  <c r="F25" i="1"/>
  <c r="X24" i="1"/>
  <c r="Z24" i="1" s="1"/>
  <c r="U24" i="1"/>
  <c r="N24" i="1"/>
  <c r="P24" i="1" s="1"/>
  <c r="K24" i="1"/>
  <c r="F24" i="1"/>
  <c r="X23" i="1"/>
  <c r="Z23" i="1" s="1"/>
  <c r="U23" i="1"/>
  <c r="N23" i="1"/>
  <c r="P23" i="1" s="1"/>
  <c r="K23" i="1"/>
  <c r="F23" i="1"/>
  <c r="X22" i="1"/>
  <c r="Z22" i="1" s="1"/>
  <c r="U22" i="1"/>
  <c r="N22" i="1"/>
  <c r="P22" i="1" s="1"/>
  <c r="K22" i="1"/>
  <c r="F22" i="1"/>
  <c r="X21" i="1"/>
  <c r="Z21" i="1" s="1"/>
  <c r="U21" i="1"/>
  <c r="N21" i="1"/>
  <c r="P21" i="1" s="1"/>
  <c r="K21" i="1"/>
  <c r="F21" i="1"/>
  <c r="X20" i="1"/>
  <c r="Z20" i="1" s="1"/>
  <c r="U20" i="1"/>
  <c r="N20" i="1"/>
  <c r="K20" i="1"/>
  <c r="F20" i="1"/>
  <c r="X19" i="1"/>
  <c r="Z19" i="1" s="1"/>
  <c r="U19" i="1"/>
  <c r="N19" i="1"/>
  <c r="P19" i="1" s="1"/>
  <c r="K19" i="1"/>
  <c r="F19" i="1"/>
  <c r="X18" i="1"/>
  <c r="U18" i="1"/>
  <c r="N18" i="1"/>
  <c r="P18" i="1" s="1"/>
  <c r="K18" i="1"/>
  <c r="F18" i="1"/>
  <c r="Z129" i="1"/>
  <c r="U129" i="1"/>
  <c r="P129" i="1"/>
  <c r="K129" i="1"/>
  <c r="F129" i="1"/>
  <c r="Z97" i="1"/>
  <c r="U97" i="1"/>
  <c r="P97" i="1"/>
  <c r="K97" i="1"/>
  <c r="F97" i="1"/>
  <c r="Z96" i="1"/>
  <c r="U96" i="1"/>
  <c r="P96" i="1"/>
  <c r="K96" i="1"/>
  <c r="F96" i="1"/>
  <c r="Z95" i="1"/>
  <c r="U95" i="1"/>
  <c r="P95" i="1"/>
  <c r="K95" i="1"/>
  <c r="F95" i="1"/>
  <c r="S94" i="1"/>
  <c r="U94" i="1" s="1"/>
  <c r="D94" i="1"/>
  <c r="F94" i="1" s="1"/>
  <c r="A94" i="1"/>
  <c r="S93" i="1"/>
  <c r="U93" i="1" s="1"/>
  <c r="D93" i="1"/>
  <c r="F93" i="1" s="1"/>
  <c r="A93" i="1"/>
  <c r="S92" i="1"/>
  <c r="U92" i="1" s="1"/>
  <c r="D92" i="1"/>
  <c r="F92" i="1" s="1"/>
  <c r="Z90" i="1"/>
  <c r="U90" i="1"/>
  <c r="P90" i="1"/>
  <c r="K90" i="1"/>
  <c r="F90" i="1"/>
  <c r="Z89" i="1"/>
  <c r="U89" i="1"/>
  <c r="P89" i="1"/>
  <c r="K89" i="1"/>
  <c r="F89" i="1"/>
  <c r="X88" i="1"/>
  <c r="Z88" i="1" s="1"/>
  <c r="U88" i="1"/>
  <c r="N88" i="1"/>
  <c r="P88" i="1" s="1"/>
  <c r="K88" i="1"/>
  <c r="F88" i="1"/>
  <c r="X87" i="1"/>
  <c r="Z87" i="1" s="1"/>
  <c r="U87" i="1"/>
  <c r="N87" i="1"/>
  <c r="P87" i="1" s="1"/>
  <c r="K87" i="1"/>
  <c r="F87" i="1"/>
  <c r="X86" i="1"/>
  <c r="Z86" i="1" s="1"/>
  <c r="U86" i="1"/>
  <c r="N86" i="1"/>
  <c r="P86" i="1" s="1"/>
  <c r="K86" i="1"/>
  <c r="F86" i="1"/>
  <c r="X85" i="1"/>
  <c r="Z85" i="1" s="1"/>
  <c r="U85" i="1"/>
  <c r="N85" i="1"/>
  <c r="P85" i="1" s="1"/>
  <c r="K85" i="1"/>
  <c r="F85" i="1"/>
  <c r="X84" i="1"/>
  <c r="Z84" i="1" s="1"/>
  <c r="U84" i="1"/>
  <c r="N84" i="1"/>
  <c r="P84" i="1" s="1"/>
  <c r="K84" i="1"/>
  <c r="F84" i="1"/>
  <c r="X83" i="1"/>
  <c r="Z83" i="1" s="1"/>
  <c r="U83" i="1"/>
  <c r="N83" i="1"/>
  <c r="P83" i="1" s="1"/>
  <c r="K83" i="1"/>
  <c r="F83" i="1"/>
  <c r="X82" i="1"/>
  <c r="Z82" i="1" s="1"/>
  <c r="U82" i="1"/>
  <c r="N82" i="1"/>
  <c r="P82" i="1" s="1"/>
  <c r="K82" i="1"/>
  <c r="F82" i="1"/>
  <c r="X81" i="1"/>
  <c r="Z81" i="1" s="1"/>
  <c r="U81" i="1"/>
  <c r="N81" i="1"/>
  <c r="P81" i="1" s="1"/>
  <c r="K81" i="1"/>
  <c r="F81" i="1"/>
  <c r="X80" i="1"/>
  <c r="U80" i="1"/>
  <c r="N80" i="1"/>
  <c r="P80" i="1" s="1"/>
  <c r="K80" i="1"/>
  <c r="F80" i="1"/>
  <c r="Z191" i="1"/>
  <c r="U191" i="1"/>
  <c r="P191" i="1"/>
  <c r="K191" i="1"/>
  <c r="F191" i="1"/>
  <c r="Z159" i="1"/>
  <c r="U159" i="1"/>
  <c r="P159" i="1"/>
  <c r="K159" i="1"/>
  <c r="F159" i="1"/>
  <c r="Z158" i="1"/>
  <c r="U158" i="1"/>
  <c r="P158" i="1"/>
  <c r="K158" i="1"/>
  <c r="F158" i="1"/>
  <c r="Z157" i="1"/>
  <c r="U157" i="1"/>
  <c r="P157" i="1"/>
  <c r="K157" i="1"/>
  <c r="F157" i="1"/>
  <c r="S156" i="1"/>
  <c r="U156" i="1" s="1"/>
  <c r="D156" i="1"/>
  <c r="F156" i="1" s="1"/>
  <c r="A156" i="1"/>
  <c r="S155" i="1"/>
  <c r="U155" i="1" s="1"/>
  <c r="D155" i="1"/>
  <c r="F155" i="1" s="1"/>
  <c r="A155" i="1"/>
  <c r="S154" i="1"/>
  <c r="U154" i="1" s="1"/>
  <c r="D154" i="1"/>
  <c r="F154" i="1" s="1"/>
  <c r="Z152" i="1"/>
  <c r="U152" i="1"/>
  <c r="P152" i="1"/>
  <c r="K152" i="1"/>
  <c r="F152" i="1"/>
  <c r="Z151" i="1"/>
  <c r="U151" i="1"/>
  <c r="P151" i="1"/>
  <c r="K151" i="1"/>
  <c r="F151" i="1"/>
  <c r="X150" i="1"/>
  <c r="Z150" i="1" s="1"/>
  <c r="U150" i="1"/>
  <c r="N150" i="1"/>
  <c r="P150" i="1" s="1"/>
  <c r="K150" i="1"/>
  <c r="F150" i="1"/>
  <c r="X149" i="1"/>
  <c r="Z149" i="1" s="1"/>
  <c r="U149" i="1"/>
  <c r="N149" i="1"/>
  <c r="P149" i="1" s="1"/>
  <c r="K149" i="1"/>
  <c r="F149" i="1"/>
  <c r="X148" i="1"/>
  <c r="Z148" i="1" s="1"/>
  <c r="U148" i="1"/>
  <c r="N148" i="1"/>
  <c r="P148" i="1" s="1"/>
  <c r="K148" i="1"/>
  <c r="F148" i="1"/>
  <c r="X147" i="1"/>
  <c r="Z147" i="1" s="1"/>
  <c r="U147" i="1"/>
  <c r="N147" i="1"/>
  <c r="P147" i="1" s="1"/>
  <c r="K147" i="1"/>
  <c r="F147" i="1"/>
  <c r="X146" i="1"/>
  <c r="Z146" i="1" s="1"/>
  <c r="U146" i="1"/>
  <c r="N146" i="1"/>
  <c r="P146" i="1" s="1"/>
  <c r="K146" i="1"/>
  <c r="F146" i="1"/>
  <c r="X145" i="1"/>
  <c r="Z145" i="1" s="1"/>
  <c r="U145" i="1"/>
  <c r="N145" i="1"/>
  <c r="P145" i="1" s="1"/>
  <c r="K145" i="1"/>
  <c r="F145" i="1"/>
  <c r="X144" i="1"/>
  <c r="Z144" i="1" s="1"/>
  <c r="U144" i="1"/>
  <c r="N144" i="1"/>
  <c r="P144" i="1" s="1"/>
  <c r="K144" i="1"/>
  <c r="F144" i="1"/>
  <c r="X143" i="1"/>
  <c r="Z143" i="1" s="1"/>
  <c r="U143" i="1"/>
  <c r="N143" i="1"/>
  <c r="P143" i="1" s="1"/>
  <c r="K143" i="1"/>
  <c r="F143" i="1"/>
  <c r="X142" i="1"/>
  <c r="U142" i="1"/>
  <c r="N142" i="1"/>
  <c r="K142" i="1"/>
  <c r="F142" i="1"/>
  <c r="Z253" i="1"/>
  <c r="Z272" i="1" s="1"/>
  <c r="U253" i="1"/>
  <c r="U272" i="1" s="1"/>
  <c r="P253" i="1"/>
  <c r="P272" i="1" s="1"/>
  <c r="K253" i="1"/>
  <c r="K272" i="1" s="1"/>
  <c r="F253" i="1"/>
  <c r="F272" i="1" s="1"/>
  <c r="A217" i="1"/>
  <c r="A218" i="1"/>
  <c r="C160" i="2"/>
  <c r="C249" i="2"/>
  <c r="D231" i="2"/>
  <c r="I279" i="2"/>
  <c r="H279" i="2"/>
  <c r="G279" i="2"/>
  <c r="F279" i="2"/>
  <c r="E279" i="2"/>
  <c r="D279" i="2"/>
  <c r="C279" i="2"/>
  <c r="I277" i="2"/>
  <c r="H277" i="2"/>
  <c r="G277" i="2"/>
  <c r="F277" i="2"/>
  <c r="E277" i="2"/>
  <c r="D277" i="2"/>
  <c r="C277" i="2"/>
  <c r="I275" i="2"/>
  <c r="H275" i="2"/>
  <c r="G275" i="2"/>
  <c r="F275" i="2"/>
  <c r="E275" i="2"/>
  <c r="D275" i="2"/>
  <c r="C275" i="2"/>
  <c r="I273" i="2"/>
  <c r="H273" i="2"/>
  <c r="G273" i="2"/>
  <c r="F273" i="2"/>
  <c r="E273" i="2"/>
  <c r="D273" i="2"/>
  <c r="C273" i="2"/>
  <c r="I271" i="2"/>
  <c r="H271" i="2"/>
  <c r="G271" i="2"/>
  <c r="F271" i="2"/>
  <c r="E271" i="2"/>
  <c r="D271" i="2"/>
  <c r="C271" i="2"/>
  <c r="I269" i="2"/>
  <c r="H269" i="2"/>
  <c r="G269" i="2"/>
  <c r="F269" i="2"/>
  <c r="E269" i="2"/>
  <c r="D269" i="2"/>
  <c r="C269" i="2"/>
  <c r="I267" i="2"/>
  <c r="H267" i="2"/>
  <c r="G267" i="2"/>
  <c r="F267" i="2"/>
  <c r="E267" i="2"/>
  <c r="D267" i="2"/>
  <c r="C267" i="2"/>
  <c r="J265" i="2"/>
  <c r="H261" i="2"/>
  <c r="G261" i="2"/>
  <c r="F261" i="2"/>
  <c r="E261" i="2"/>
  <c r="D261" i="2"/>
  <c r="C261" i="2"/>
  <c r="H259" i="2"/>
  <c r="G259" i="2"/>
  <c r="F259" i="2"/>
  <c r="E259" i="2"/>
  <c r="D259" i="2"/>
  <c r="C259" i="2"/>
  <c r="H257" i="2"/>
  <c r="G257" i="2"/>
  <c r="F257" i="2"/>
  <c r="E257" i="2"/>
  <c r="D257" i="2"/>
  <c r="C257" i="2"/>
  <c r="H255" i="2"/>
  <c r="G255" i="2"/>
  <c r="F255" i="2"/>
  <c r="E255" i="2"/>
  <c r="D255" i="2"/>
  <c r="C255" i="2"/>
  <c r="H253" i="2"/>
  <c r="G253" i="2"/>
  <c r="F253" i="2"/>
  <c r="E253" i="2"/>
  <c r="D253" i="2"/>
  <c r="C253" i="2"/>
  <c r="H251" i="2"/>
  <c r="G251" i="2"/>
  <c r="F251" i="2"/>
  <c r="E251" i="2"/>
  <c r="D251" i="2"/>
  <c r="C251" i="2"/>
  <c r="H249" i="2"/>
  <c r="G249" i="2"/>
  <c r="F249" i="2"/>
  <c r="E249" i="2"/>
  <c r="D249" i="2"/>
  <c r="I247" i="2"/>
  <c r="F243" i="2"/>
  <c r="E243" i="2"/>
  <c r="D243" i="2"/>
  <c r="C243" i="2"/>
  <c r="F241" i="2"/>
  <c r="E241" i="2"/>
  <c r="D241" i="2"/>
  <c r="C241" i="2"/>
  <c r="F239" i="2"/>
  <c r="E239" i="2"/>
  <c r="D239" i="2"/>
  <c r="C239" i="2"/>
  <c r="F237" i="2"/>
  <c r="E237" i="2"/>
  <c r="D237" i="2"/>
  <c r="C237" i="2"/>
  <c r="F235" i="2"/>
  <c r="E235" i="2"/>
  <c r="D235" i="2"/>
  <c r="C235" i="2"/>
  <c r="F233" i="2"/>
  <c r="E233" i="2"/>
  <c r="D233" i="2"/>
  <c r="C233" i="2"/>
  <c r="F231" i="2"/>
  <c r="E231" i="2"/>
  <c r="C231" i="2"/>
  <c r="G229" i="2"/>
  <c r="I223" i="2"/>
  <c r="H223" i="2"/>
  <c r="G223" i="2"/>
  <c r="F223" i="2"/>
  <c r="E223" i="2"/>
  <c r="D223" i="2"/>
  <c r="C223" i="2"/>
  <c r="I221" i="2"/>
  <c r="H221" i="2"/>
  <c r="G221" i="2"/>
  <c r="F221" i="2"/>
  <c r="E221" i="2"/>
  <c r="D221" i="2"/>
  <c r="C221" i="2"/>
  <c r="I219" i="2"/>
  <c r="H219" i="2"/>
  <c r="G219" i="2"/>
  <c r="F219" i="2"/>
  <c r="E219" i="2"/>
  <c r="D219" i="2"/>
  <c r="C219" i="2"/>
  <c r="I217" i="2"/>
  <c r="H217" i="2"/>
  <c r="G217" i="2"/>
  <c r="F217" i="2"/>
  <c r="E217" i="2"/>
  <c r="D217" i="2"/>
  <c r="C217" i="2"/>
  <c r="I215" i="2"/>
  <c r="H215" i="2"/>
  <c r="G215" i="2"/>
  <c r="F215" i="2"/>
  <c r="E215" i="2"/>
  <c r="D215" i="2"/>
  <c r="C215" i="2"/>
  <c r="I213" i="2"/>
  <c r="H213" i="2"/>
  <c r="G213" i="2"/>
  <c r="F213" i="2"/>
  <c r="E213" i="2"/>
  <c r="D213" i="2"/>
  <c r="C213" i="2"/>
  <c r="I211" i="2"/>
  <c r="H211" i="2"/>
  <c r="G211" i="2"/>
  <c r="F211" i="2"/>
  <c r="E211" i="2"/>
  <c r="D211" i="2"/>
  <c r="C211" i="2"/>
  <c r="J209" i="2"/>
  <c r="H205" i="2"/>
  <c r="G205" i="2"/>
  <c r="F205" i="2"/>
  <c r="E205" i="2"/>
  <c r="D205" i="2"/>
  <c r="C205" i="2"/>
  <c r="H203" i="2"/>
  <c r="G203" i="2"/>
  <c r="F203" i="2"/>
  <c r="E203" i="2"/>
  <c r="D203" i="2"/>
  <c r="C203" i="2"/>
  <c r="H201" i="2"/>
  <c r="G201" i="2"/>
  <c r="F201" i="2"/>
  <c r="E201" i="2"/>
  <c r="D201" i="2"/>
  <c r="C201" i="2"/>
  <c r="H199" i="2"/>
  <c r="G199" i="2"/>
  <c r="F199" i="2"/>
  <c r="E199" i="2"/>
  <c r="D199" i="2"/>
  <c r="C199" i="2"/>
  <c r="H197" i="2"/>
  <c r="G197" i="2"/>
  <c r="F197" i="2"/>
  <c r="E197" i="2"/>
  <c r="D197" i="2"/>
  <c r="C197" i="2"/>
  <c r="H195" i="2"/>
  <c r="G195" i="2"/>
  <c r="F195" i="2"/>
  <c r="E195" i="2"/>
  <c r="D195" i="2"/>
  <c r="C195" i="2"/>
  <c r="H193" i="2"/>
  <c r="G193" i="2"/>
  <c r="F193" i="2"/>
  <c r="E193" i="2"/>
  <c r="D193" i="2"/>
  <c r="C193" i="2"/>
  <c r="I191" i="2"/>
  <c r="F187" i="2"/>
  <c r="E187" i="2"/>
  <c r="D187" i="2"/>
  <c r="C187" i="2"/>
  <c r="F185" i="2"/>
  <c r="E185" i="2"/>
  <c r="D185" i="2"/>
  <c r="C185" i="2"/>
  <c r="F183" i="2"/>
  <c r="E183" i="2"/>
  <c r="D183" i="2"/>
  <c r="C183" i="2"/>
  <c r="F181" i="2"/>
  <c r="E181" i="2"/>
  <c r="D181" i="2"/>
  <c r="C181" i="2"/>
  <c r="F179" i="2"/>
  <c r="E179" i="2"/>
  <c r="D179" i="2"/>
  <c r="C179" i="2"/>
  <c r="F177" i="2"/>
  <c r="E177" i="2"/>
  <c r="D177" i="2"/>
  <c r="C177" i="2"/>
  <c r="F175" i="2"/>
  <c r="E175" i="2"/>
  <c r="D175" i="2"/>
  <c r="C175" i="2"/>
  <c r="G173" i="2"/>
  <c r="I160" i="2"/>
  <c r="G140" i="2"/>
  <c r="I168" i="2"/>
  <c r="H168" i="2"/>
  <c r="G168" i="2"/>
  <c r="F168" i="2"/>
  <c r="E168" i="2"/>
  <c r="D168" i="2"/>
  <c r="C168" i="2"/>
  <c r="I166" i="2"/>
  <c r="H166" i="2"/>
  <c r="G166" i="2"/>
  <c r="F166" i="2"/>
  <c r="E166" i="2"/>
  <c r="D166" i="2"/>
  <c r="C166" i="2"/>
  <c r="I164" i="2"/>
  <c r="H164" i="2"/>
  <c r="G164" i="2"/>
  <c r="F164" i="2"/>
  <c r="E164" i="2"/>
  <c r="D164" i="2"/>
  <c r="C164" i="2"/>
  <c r="I162" i="2"/>
  <c r="H162" i="2"/>
  <c r="G162" i="2"/>
  <c r="F162" i="2"/>
  <c r="E162" i="2"/>
  <c r="D162" i="2"/>
  <c r="C162" i="2"/>
  <c r="H160" i="2"/>
  <c r="G160" i="2"/>
  <c r="F160" i="2"/>
  <c r="E160" i="2"/>
  <c r="D160" i="2"/>
  <c r="I158" i="2"/>
  <c r="H158" i="2"/>
  <c r="G158" i="2"/>
  <c r="F158" i="2"/>
  <c r="E158" i="2"/>
  <c r="D158" i="2"/>
  <c r="C158" i="2"/>
  <c r="I156" i="2"/>
  <c r="H156" i="2"/>
  <c r="G156" i="2"/>
  <c r="F156" i="2"/>
  <c r="E156" i="2"/>
  <c r="D156" i="2"/>
  <c r="C156" i="2"/>
  <c r="J154" i="2"/>
  <c r="H150" i="2"/>
  <c r="G150" i="2"/>
  <c r="F150" i="2"/>
  <c r="E150" i="2"/>
  <c r="D150" i="2"/>
  <c r="C150" i="2"/>
  <c r="H148" i="2"/>
  <c r="G148" i="2"/>
  <c r="F148" i="2"/>
  <c r="E148" i="2"/>
  <c r="D148" i="2"/>
  <c r="C148" i="2"/>
  <c r="H146" i="2"/>
  <c r="G146" i="2"/>
  <c r="F146" i="2"/>
  <c r="E146" i="2"/>
  <c r="D146" i="2"/>
  <c r="C146" i="2"/>
  <c r="H144" i="2"/>
  <c r="G144" i="2"/>
  <c r="F144" i="2"/>
  <c r="E144" i="2"/>
  <c r="D144" i="2"/>
  <c r="C144" i="2"/>
  <c r="H142" i="2"/>
  <c r="G142" i="2"/>
  <c r="F142" i="2"/>
  <c r="E142" i="2"/>
  <c r="D142" i="2"/>
  <c r="C142" i="2"/>
  <c r="H140" i="2"/>
  <c r="F140" i="2"/>
  <c r="E140" i="2"/>
  <c r="D140" i="2"/>
  <c r="C140" i="2"/>
  <c r="H138" i="2"/>
  <c r="G138" i="2"/>
  <c r="F138" i="2"/>
  <c r="E138" i="2"/>
  <c r="D138" i="2"/>
  <c r="C138" i="2"/>
  <c r="I136" i="2"/>
  <c r="F132" i="2"/>
  <c r="E132" i="2"/>
  <c r="D132" i="2"/>
  <c r="C132" i="2"/>
  <c r="F130" i="2"/>
  <c r="E130" i="2"/>
  <c r="D130" i="2"/>
  <c r="C130" i="2"/>
  <c r="F128" i="2"/>
  <c r="E128" i="2"/>
  <c r="D128" i="2"/>
  <c r="C128" i="2"/>
  <c r="F126" i="2"/>
  <c r="E126" i="2"/>
  <c r="D126" i="2"/>
  <c r="C126" i="2"/>
  <c r="F124" i="2"/>
  <c r="E124" i="2"/>
  <c r="D124" i="2"/>
  <c r="C124" i="2"/>
  <c r="F122" i="2"/>
  <c r="E122" i="2"/>
  <c r="D122" i="2"/>
  <c r="C122" i="2"/>
  <c r="F120" i="2"/>
  <c r="E120" i="2"/>
  <c r="D120" i="2"/>
  <c r="C120" i="2"/>
  <c r="G118" i="2"/>
  <c r="I112" i="2"/>
  <c r="H112" i="2"/>
  <c r="G112" i="2"/>
  <c r="F112" i="2"/>
  <c r="E112" i="2"/>
  <c r="D112" i="2"/>
  <c r="C112" i="2"/>
  <c r="I110" i="2"/>
  <c r="H110" i="2"/>
  <c r="G110" i="2"/>
  <c r="F110" i="2"/>
  <c r="E110" i="2"/>
  <c r="D110" i="2"/>
  <c r="C110" i="2"/>
  <c r="I108" i="2"/>
  <c r="H108" i="2"/>
  <c r="G108" i="2"/>
  <c r="F108" i="2"/>
  <c r="E108" i="2"/>
  <c r="D108" i="2"/>
  <c r="C108" i="2"/>
  <c r="I106" i="2"/>
  <c r="H106" i="2"/>
  <c r="G106" i="2"/>
  <c r="F106" i="2"/>
  <c r="E106" i="2"/>
  <c r="D106" i="2"/>
  <c r="C106" i="2"/>
  <c r="I104" i="2"/>
  <c r="H104" i="2"/>
  <c r="G104" i="2"/>
  <c r="F104" i="2"/>
  <c r="E104" i="2"/>
  <c r="D104" i="2"/>
  <c r="C104" i="2"/>
  <c r="I102" i="2"/>
  <c r="H102" i="2"/>
  <c r="G102" i="2"/>
  <c r="F102" i="2"/>
  <c r="E102" i="2"/>
  <c r="D102" i="2"/>
  <c r="C102" i="2"/>
  <c r="I100" i="2"/>
  <c r="H100" i="2"/>
  <c r="G100" i="2"/>
  <c r="F100" i="2"/>
  <c r="E100" i="2"/>
  <c r="D100" i="2"/>
  <c r="C100" i="2"/>
  <c r="J98" i="2"/>
  <c r="H94" i="2"/>
  <c r="G94" i="2"/>
  <c r="F94" i="2"/>
  <c r="E94" i="2"/>
  <c r="D94" i="2"/>
  <c r="C94" i="2"/>
  <c r="H92" i="2"/>
  <c r="G92" i="2"/>
  <c r="F92" i="2"/>
  <c r="E92" i="2"/>
  <c r="D92" i="2"/>
  <c r="C92" i="2"/>
  <c r="H90" i="2"/>
  <c r="G90" i="2"/>
  <c r="F90" i="2"/>
  <c r="E90" i="2"/>
  <c r="D90" i="2"/>
  <c r="C90" i="2"/>
  <c r="H88" i="2"/>
  <c r="G88" i="2"/>
  <c r="F88" i="2"/>
  <c r="E88" i="2"/>
  <c r="D88" i="2"/>
  <c r="C88" i="2"/>
  <c r="H86" i="2"/>
  <c r="G86" i="2"/>
  <c r="F86" i="2"/>
  <c r="E86" i="2"/>
  <c r="D86" i="2"/>
  <c r="C86" i="2"/>
  <c r="H84" i="2"/>
  <c r="G84" i="2"/>
  <c r="F84" i="2"/>
  <c r="E84" i="2"/>
  <c r="D84" i="2"/>
  <c r="C84" i="2"/>
  <c r="H82" i="2"/>
  <c r="G82" i="2"/>
  <c r="F82" i="2"/>
  <c r="E82" i="2"/>
  <c r="D82" i="2"/>
  <c r="C82" i="2"/>
  <c r="I80" i="2"/>
  <c r="F76" i="2"/>
  <c r="E76" i="2"/>
  <c r="D76" i="2"/>
  <c r="C76" i="2"/>
  <c r="F74" i="2"/>
  <c r="E74" i="2"/>
  <c r="D74" i="2"/>
  <c r="C74" i="2"/>
  <c r="F72" i="2"/>
  <c r="E72" i="2"/>
  <c r="D72" i="2"/>
  <c r="C72" i="2"/>
  <c r="F70" i="2"/>
  <c r="E70" i="2"/>
  <c r="D70" i="2"/>
  <c r="C70" i="2"/>
  <c r="F68" i="2"/>
  <c r="E68" i="2"/>
  <c r="D68" i="2"/>
  <c r="C68" i="2"/>
  <c r="F66" i="2"/>
  <c r="E66" i="2"/>
  <c r="D66" i="2"/>
  <c r="C66" i="2"/>
  <c r="F64" i="2"/>
  <c r="E64" i="2"/>
  <c r="D64" i="2"/>
  <c r="C64" i="2"/>
  <c r="G62" i="2"/>
  <c r="D55" i="2"/>
  <c r="E55" i="2"/>
  <c r="F55" i="2"/>
  <c r="G55" i="2"/>
  <c r="H55" i="2"/>
  <c r="I55" i="2"/>
  <c r="D53" i="2"/>
  <c r="E53" i="2"/>
  <c r="F53" i="2"/>
  <c r="G53" i="2"/>
  <c r="H53" i="2"/>
  <c r="I53" i="2"/>
  <c r="D51" i="2"/>
  <c r="E51" i="2"/>
  <c r="F51" i="2"/>
  <c r="G51" i="2"/>
  <c r="H51" i="2"/>
  <c r="I51" i="2"/>
  <c r="D49" i="2"/>
  <c r="E49" i="2"/>
  <c r="F49" i="2"/>
  <c r="G49" i="2"/>
  <c r="H49" i="2"/>
  <c r="I49" i="2"/>
  <c r="D47" i="2"/>
  <c r="E47" i="2"/>
  <c r="F47" i="2"/>
  <c r="G47" i="2"/>
  <c r="H47" i="2"/>
  <c r="I47" i="2"/>
  <c r="D45" i="2"/>
  <c r="E45" i="2"/>
  <c r="F45" i="2"/>
  <c r="G45" i="2"/>
  <c r="H45" i="2"/>
  <c r="I45" i="2"/>
  <c r="C55" i="2"/>
  <c r="C53" i="2"/>
  <c r="C51" i="2"/>
  <c r="C49" i="2"/>
  <c r="C47" i="2"/>
  <c r="C45" i="2"/>
  <c r="D43" i="2"/>
  <c r="E43" i="2"/>
  <c r="F43" i="2"/>
  <c r="G43" i="2"/>
  <c r="H43" i="2"/>
  <c r="I43" i="2"/>
  <c r="C43" i="2"/>
  <c r="D37" i="2"/>
  <c r="E37" i="2"/>
  <c r="F37" i="2"/>
  <c r="G37" i="2"/>
  <c r="H37" i="2"/>
  <c r="D35" i="2"/>
  <c r="E35" i="2"/>
  <c r="F35" i="2"/>
  <c r="G35" i="2"/>
  <c r="H35" i="2"/>
  <c r="D33" i="2"/>
  <c r="E33" i="2"/>
  <c r="F33" i="2"/>
  <c r="G33" i="2"/>
  <c r="H33" i="2"/>
  <c r="D31" i="2"/>
  <c r="E31" i="2"/>
  <c r="F31" i="2"/>
  <c r="G31" i="2"/>
  <c r="H31" i="2"/>
  <c r="D29" i="2"/>
  <c r="E29" i="2"/>
  <c r="F29" i="2"/>
  <c r="G29" i="2"/>
  <c r="H29" i="2"/>
  <c r="C37" i="2"/>
  <c r="C35" i="2"/>
  <c r="C33" i="2"/>
  <c r="C31" i="2"/>
  <c r="C29" i="2"/>
  <c r="H27" i="2"/>
  <c r="D27" i="2"/>
  <c r="E27" i="2"/>
  <c r="F27" i="2"/>
  <c r="G27" i="2"/>
  <c r="C27" i="2"/>
  <c r="D25" i="2"/>
  <c r="E25" i="2"/>
  <c r="F25" i="2"/>
  <c r="G25" i="2"/>
  <c r="H25" i="2"/>
  <c r="C25" i="2"/>
  <c r="D19" i="2"/>
  <c r="E19" i="2"/>
  <c r="F19" i="2"/>
  <c r="C19" i="2"/>
  <c r="D17" i="2"/>
  <c r="E17" i="2"/>
  <c r="F17" i="2"/>
  <c r="C17" i="2"/>
  <c r="D15" i="2"/>
  <c r="E15" i="2"/>
  <c r="F15" i="2"/>
  <c r="C15" i="2"/>
  <c r="D13" i="2"/>
  <c r="E13" i="2"/>
  <c r="F13" i="2"/>
  <c r="C13" i="2"/>
  <c r="D11" i="2"/>
  <c r="E11" i="2"/>
  <c r="F11" i="2"/>
  <c r="C11" i="2"/>
  <c r="D9" i="2"/>
  <c r="E9" i="2"/>
  <c r="F9" i="2"/>
  <c r="C9" i="2"/>
  <c r="D7" i="2"/>
  <c r="E7" i="2"/>
  <c r="F7" i="2"/>
  <c r="C7" i="2"/>
  <c r="J41" i="2"/>
  <c r="I23" i="2"/>
  <c r="G5" i="2"/>
  <c r="F291" i="1" l="1"/>
  <c r="K291" i="1" s="1"/>
  <c r="P291" i="1" s="1"/>
  <c r="U291" i="1" s="1"/>
  <c r="Z291" i="1" s="1"/>
  <c r="F386" i="1"/>
  <c r="I200" i="1"/>
  <c r="I264" i="1" s="1"/>
  <c r="I197" i="1"/>
  <c r="I261" i="1" s="1"/>
  <c r="I195" i="1"/>
  <c r="I259" i="1" s="1"/>
  <c r="I199" i="1"/>
  <c r="I263" i="1" s="1"/>
  <c r="N74" i="1"/>
  <c r="I198" i="1"/>
  <c r="I262" i="1" s="1"/>
  <c r="N72" i="1"/>
  <c r="I196" i="1"/>
  <c r="I260" i="1" s="1"/>
  <c r="N76" i="1"/>
  <c r="S76" i="1" s="1"/>
  <c r="X76" i="1" s="1"/>
  <c r="N73" i="1"/>
  <c r="P73" i="1" s="1"/>
  <c r="N71" i="1"/>
  <c r="S71" i="1" s="1"/>
  <c r="X71" i="1" s="1"/>
  <c r="X195" i="1" s="1"/>
  <c r="X259" i="1" s="1"/>
  <c r="N75" i="1"/>
  <c r="S75" i="1" s="1"/>
  <c r="X75" i="1" s="1"/>
  <c r="E289" i="2"/>
  <c r="E287" i="2"/>
  <c r="U339" i="1" s="1"/>
  <c r="E285" i="2"/>
  <c r="K339" i="1" s="1"/>
  <c r="E284" i="2"/>
  <c r="F339" i="1" s="1"/>
  <c r="E292" i="2"/>
  <c r="E290" i="2"/>
  <c r="E288" i="2"/>
  <c r="Z339" i="1" s="1"/>
  <c r="E286" i="2"/>
  <c r="P339" i="1" s="1"/>
  <c r="E293" i="2"/>
  <c r="E291" i="2"/>
  <c r="U226" i="1"/>
  <c r="K229" i="1"/>
  <c r="Z231" i="1"/>
  <c r="P233" i="1"/>
  <c r="K239" i="1"/>
  <c r="Z245" i="1"/>
  <c r="U228" i="1"/>
  <c r="K231" i="1"/>
  <c r="F232" i="1"/>
  <c r="P234" i="1"/>
  <c r="P241" i="1"/>
  <c r="K245" i="1"/>
  <c r="K226" i="1"/>
  <c r="F228" i="1"/>
  <c r="Z228" i="1"/>
  <c r="U229" i="1"/>
  <c r="P231" i="1"/>
  <c r="K232" i="1"/>
  <c r="F233" i="1"/>
  <c r="Z233" i="1"/>
  <c r="U234" i="1"/>
  <c r="U239" i="1"/>
  <c r="U240" i="1"/>
  <c r="U241" i="1"/>
  <c r="P242" i="1"/>
  <c r="P245" i="1"/>
  <c r="P228" i="1"/>
  <c r="F231" i="1"/>
  <c r="U232" i="1"/>
  <c r="K234" i="1"/>
  <c r="K240" i="1"/>
  <c r="K241" i="1"/>
  <c r="Z242" i="1"/>
  <c r="F226" i="1"/>
  <c r="Z226" i="1"/>
  <c r="P229" i="1"/>
  <c r="Z232" i="1"/>
  <c r="U233" i="1"/>
  <c r="P240" i="1"/>
  <c r="K242" i="1"/>
  <c r="P226" i="1"/>
  <c r="K228" i="1"/>
  <c r="F229" i="1"/>
  <c r="Z229" i="1"/>
  <c r="U231" i="1"/>
  <c r="P232" i="1"/>
  <c r="K233" i="1"/>
  <c r="F234" i="1"/>
  <c r="Z234" i="1"/>
  <c r="Z239" i="1"/>
  <c r="Z240" i="1"/>
  <c r="Z241" i="1"/>
  <c r="U242" i="1"/>
  <c r="U245" i="1"/>
  <c r="P185" i="1"/>
  <c r="Z123" i="1"/>
  <c r="P61" i="1"/>
  <c r="U61" i="1"/>
  <c r="K111" i="1"/>
  <c r="P111" i="1"/>
  <c r="U123" i="1"/>
  <c r="P239" i="1"/>
  <c r="K61" i="1"/>
  <c r="F173" i="1"/>
  <c r="Z173" i="1"/>
  <c r="K185" i="1"/>
  <c r="F242" i="1"/>
  <c r="F247" i="1" s="1"/>
  <c r="F270" i="1" s="1"/>
  <c r="U111" i="1"/>
  <c r="K123" i="1"/>
  <c r="K173" i="1"/>
  <c r="U185" i="1"/>
  <c r="F111" i="1"/>
  <c r="Z111" i="1"/>
  <c r="P123" i="1"/>
  <c r="P173" i="1"/>
  <c r="U173" i="1"/>
  <c r="Z185" i="1"/>
  <c r="T199" i="1"/>
  <c r="T263" i="1" s="1"/>
  <c r="E199" i="1"/>
  <c r="E263" i="1" s="1"/>
  <c r="E195" i="1"/>
  <c r="E259" i="1" s="1"/>
  <c r="E200" i="1"/>
  <c r="E264" i="1" s="1"/>
  <c r="E197" i="1"/>
  <c r="E261" i="1" s="1"/>
  <c r="Y200" i="1"/>
  <c r="Y264" i="1" s="1"/>
  <c r="C198" i="1"/>
  <c r="C262" i="1" s="1"/>
  <c r="J166" i="2"/>
  <c r="AC13" i="2" s="1"/>
  <c r="O13" i="1" s="1"/>
  <c r="I199" i="2"/>
  <c r="AG11" i="2" s="1"/>
  <c r="S11" i="1" s="1"/>
  <c r="J213" i="2"/>
  <c r="AH9" i="2" s="1"/>
  <c r="T9" i="1" s="1"/>
  <c r="J221" i="2"/>
  <c r="AH13" i="2" s="1"/>
  <c r="T13" i="1" s="1"/>
  <c r="J102" i="2"/>
  <c r="X9" i="2" s="1"/>
  <c r="J9" i="1" s="1"/>
  <c r="G17" i="2"/>
  <c r="Q13" i="2" s="1"/>
  <c r="I255" i="2"/>
  <c r="AL11" i="2" s="1"/>
  <c r="X11" i="1" s="1"/>
  <c r="G177" i="2"/>
  <c r="AF9" i="2" s="1"/>
  <c r="R9" i="1" s="1"/>
  <c r="G179" i="2"/>
  <c r="AF10" i="2" s="1"/>
  <c r="G181" i="2"/>
  <c r="AF11" i="2" s="1"/>
  <c r="G183" i="2"/>
  <c r="AF12" i="2" s="1"/>
  <c r="G185" i="2"/>
  <c r="AF13" i="2" s="1"/>
  <c r="G187" i="2"/>
  <c r="AF14" i="2" s="1"/>
  <c r="I144" i="2"/>
  <c r="AB11" i="2" s="1"/>
  <c r="N11" i="1" s="1"/>
  <c r="I146" i="2"/>
  <c r="AB12" i="2" s="1"/>
  <c r="N12" i="1" s="1"/>
  <c r="J158" i="2"/>
  <c r="AC9" i="2" s="1"/>
  <c r="O9" i="1" s="1"/>
  <c r="Y197" i="1"/>
  <c r="Y261" i="1" s="1"/>
  <c r="M196" i="1"/>
  <c r="M260" i="1" s="1"/>
  <c r="Y198" i="1"/>
  <c r="Y262" i="1" s="1"/>
  <c r="Y196" i="1"/>
  <c r="Y260" i="1" s="1"/>
  <c r="J197" i="1"/>
  <c r="J261" i="1" s="1"/>
  <c r="M200" i="1"/>
  <c r="M264" i="1" s="1"/>
  <c r="T200" i="1"/>
  <c r="T264" i="1" s="1"/>
  <c r="T196" i="1"/>
  <c r="T260" i="1" s="1"/>
  <c r="H199" i="1"/>
  <c r="H263" i="1" s="1"/>
  <c r="O196" i="1"/>
  <c r="O260" i="1" s="1"/>
  <c r="O199" i="1"/>
  <c r="O263" i="1" s="1"/>
  <c r="X200" i="1"/>
  <c r="X264" i="1" s="1"/>
  <c r="X204" i="1"/>
  <c r="Z204" i="1" s="1"/>
  <c r="N206" i="1"/>
  <c r="P206" i="1" s="1"/>
  <c r="O200" i="1"/>
  <c r="O264" i="1" s="1"/>
  <c r="H200" i="1"/>
  <c r="H264" i="1" s="1"/>
  <c r="J199" i="1"/>
  <c r="J263" i="1" s="1"/>
  <c r="H196" i="1"/>
  <c r="H260" i="1" s="1"/>
  <c r="J200" i="1"/>
  <c r="J264" i="1" s="1"/>
  <c r="T195" i="1"/>
  <c r="T259" i="1" s="1"/>
  <c r="Y195" i="1"/>
  <c r="Y259" i="1" s="1"/>
  <c r="Y199" i="1"/>
  <c r="Y263" i="1" s="1"/>
  <c r="M198" i="1"/>
  <c r="M262" i="1" s="1"/>
  <c r="O197" i="1"/>
  <c r="O261" i="1" s="1"/>
  <c r="O195" i="1"/>
  <c r="O259" i="1" s="1"/>
  <c r="H195" i="1"/>
  <c r="H259" i="1" s="1"/>
  <c r="J196" i="1"/>
  <c r="J260" i="1" s="1"/>
  <c r="J195" i="1"/>
  <c r="J259" i="1" s="1"/>
  <c r="H70" i="1"/>
  <c r="M70" i="1" s="1"/>
  <c r="R70" i="1" s="1"/>
  <c r="W70" i="1" s="1"/>
  <c r="H132" i="1"/>
  <c r="M132" i="1" s="1"/>
  <c r="R132" i="1" s="1"/>
  <c r="W132" i="1" s="1"/>
  <c r="T197" i="1"/>
  <c r="T261" i="1" s="1"/>
  <c r="H197" i="1"/>
  <c r="H261" i="1" s="1"/>
  <c r="H198" i="1"/>
  <c r="H262" i="1" s="1"/>
  <c r="I70" i="1"/>
  <c r="I132" i="1"/>
  <c r="N132" i="1" s="1"/>
  <c r="S132" i="1" s="1"/>
  <c r="X132" i="1" s="1"/>
  <c r="J198" i="1"/>
  <c r="J262" i="1" s="1"/>
  <c r="T194" i="1"/>
  <c r="T258" i="1" s="1"/>
  <c r="J194" i="1"/>
  <c r="J258" i="1" s="1"/>
  <c r="K208" i="1"/>
  <c r="K212" i="1"/>
  <c r="N212" i="1"/>
  <c r="S216" i="1"/>
  <c r="U216" i="1" s="1"/>
  <c r="P220" i="1"/>
  <c r="U221" i="1"/>
  <c r="F205" i="1"/>
  <c r="K220" i="1"/>
  <c r="Z221" i="1"/>
  <c r="U205" i="1"/>
  <c r="Z220" i="1"/>
  <c r="Z219" i="1"/>
  <c r="F221" i="1"/>
  <c r="K211" i="1"/>
  <c r="I32" i="1"/>
  <c r="K32" i="1" s="1"/>
  <c r="U208" i="1"/>
  <c r="U212" i="1"/>
  <c r="K205" i="1"/>
  <c r="I30" i="1"/>
  <c r="K30" i="1" s="1"/>
  <c r="I31" i="1"/>
  <c r="K31" i="1" s="1"/>
  <c r="D218" i="1"/>
  <c r="F218" i="1" s="1"/>
  <c r="U209" i="1"/>
  <c r="D217" i="1"/>
  <c r="F217" i="1" s="1"/>
  <c r="U220" i="1"/>
  <c r="U219" i="1"/>
  <c r="U211" i="1"/>
  <c r="U207" i="1"/>
  <c r="P221" i="1"/>
  <c r="K219" i="1"/>
  <c r="F209" i="1"/>
  <c r="K207" i="1"/>
  <c r="S217" i="1"/>
  <c r="U217" i="1" s="1"/>
  <c r="F220" i="1"/>
  <c r="D216" i="1"/>
  <c r="F216" i="1" s="1"/>
  <c r="F212" i="1"/>
  <c r="F208" i="1"/>
  <c r="U206" i="1"/>
  <c r="U210" i="1"/>
  <c r="S218" i="1"/>
  <c r="U218" i="1" s="1"/>
  <c r="P219" i="1"/>
  <c r="K221" i="1"/>
  <c r="K209" i="1"/>
  <c r="F219" i="1"/>
  <c r="F211" i="1"/>
  <c r="F207" i="1"/>
  <c r="X208" i="1"/>
  <c r="Z208" i="1" s="1"/>
  <c r="I94" i="1"/>
  <c r="K94" i="1" s="1"/>
  <c r="F210" i="1"/>
  <c r="F206" i="1"/>
  <c r="X212" i="1"/>
  <c r="Z212" i="1" s="1"/>
  <c r="N204" i="1"/>
  <c r="P204" i="1" s="1"/>
  <c r="N208" i="1"/>
  <c r="P208" i="1" s="1"/>
  <c r="N205" i="1"/>
  <c r="P205" i="1" s="1"/>
  <c r="N209" i="1"/>
  <c r="X205" i="1"/>
  <c r="Z205" i="1" s="1"/>
  <c r="X209" i="1"/>
  <c r="N210" i="1"/>
  <c r="P210" i="1" s="1"/>
  <c r="X206" i="1"/>
  <c r="Z206" i="1" s="1"/>
  <c r="X210" i="1"/>
  <c r="Z210" i="1" s="1"/>
  <c r="N207" i="1"/>
  <c r="N211" i="1"/>
  <c r="X207" i="1"/>
  <c r="Z207" i="1" s="1"/>
  <c r="X211" i="1"/>
  <c r="K204" i="1"/>
  <c r="K210" i="1"/>
  <c r="K206" i="1"/>
  <c r="I154" i="1"/>
  <c r="K154" i="1" s="1"/>
  <c r="I155" i="1"/>
  <c r="K155" i="1" s="1"/>
  <c r="I156" i="1"/>
  <c r="K156" i="1" s="1"/>
  <c r="I92" i="1"/>
  <c r="K92" i="1" s="1"/>
  <c r="I93" i="1"/>
  <c r="K93" i="1" s="1"/>
  <c r="F204" i="1"/>
  <c r="K72" i="1"/>
  <c r="K76" i="1"/>
  <c r="K137" i="1"/>
  <c r="K74" i="1"/>
  <c r="K71" i="1"/>
  <c r="K133" i="1"/>
  <c r="R73" i="1"/>
  <c r="W74" i="1"/>
  <c r="R75" i="1"/>
  <c r="R134" i="1"/>
  <c r="P134" i="1"/>
  <c r="P138" i="1"/>
  <c r="R138" i="1"/>
  <c r="R135" i="1"/>
  <c r="P135" i="1"/>
  <c r="R72" i="1"/>
  <c r="R136" i="1"/>
  <c r="P136" i="1"/>
  <c r="K73" i="1"/>
  <c r="R71" i="1"/>
  <c r="K136" i="1"/>
  <c r="M133" i="1"/>
  <c r="M195" i="1" s="1"/>
  <c r="M259" i="1" s="1"/>
  <c r="K135" i="1"/>
  <c r="M137" i="1"/>
  <c r="M199" i="1" s="1"/>
  <c r="M263" i="1" s="1"/>
  <c r="R76" i="1"/>
  <c r="K75" i="1"/>
  <c r="K138" i="1"/>
  <c r="K134" i="1"/>
  <c r="F29" i="1"/>
  <c r="F36" i="1" s="1"/>
  <c r="X30" i="1"/>
  <c r="N32" i="1"/>
  <c r="Z61" i="1"/>
  <c r="K29" i="1"/>
  <c r="P49" i="1"/>
  <c r="K49" i="1"/>
  <c r="U49" i="1"/>
  <c r="U29" i="1"/>
  <c r="U36" i="1" s="1"/>
  <c r="F49" i="1"/>
  <c r="Z49" i="1"/>
  <c r="X32" i="1"/>
  <c r="P20" i="1"/>
  <c r="P29" i="1" s="1"/>
  <c r="N31" i="1"/>
  <c r="X31" i="1"/>
  <c r="Z18" i="1"/>
  <c r="Z29" i="1" s="1"/>
  <c r="N30" i="1"/>
  <c r="K91" i="1"/>
  <c r="N156" i="1"/>
  <c r="P156" i="1" s="1"/>
  <c r="U91" i="1"/>
  <c r="U98" i="1" s="1"/>
  <c r="F91" i="1"/>
  <c r="F98" i="1" s="1"/>
  <c r="X93" i="1"/>
  <c r="Z93" i="1" s="1"/>
  <c r="P91" i="1"/>
  <c r="N94" i="1"/>
  <c r="P94" i="1" s="1"/>
  <c r="N93" i="1"/>
  <c r="P93" i="1" s="1"/>
  <c r="X155" i="1"/>
  <c r="Z155" i="1" s="1"/>
  <c r="U153" i="1"/>
  <c r="U160" i="1" s="1"/>
  <c r="Z80" i="1"/>
  <c r="Z91" i="1" s="1"/>
  <c r="N92" i="1"/>
  <c r="P92" i="1" s="1"/>
  <c r="X92" i="1"/>
  <c r="Z92" i="1" s="1"/>
  <c r="X94" i="1"/>
  <c r="Z94" i="1" s="1"/>
  <c r="K153" i="1"/>
  <c r="F153" i="1"/>
  <c r="F160" i="1" s="1"/>
  <c r="N155" i="1"/>
  <c r="P155" i="1" s="1"/>
  <c r="Z142" i="1"/>
  <c r="Z153" i="1" s="1"/>
  <c r="P142" i="1"/>
  <c r="P153" i="1" s="1"/>
  <c r="X154" i="1"/>
  <c r="Z154" i="1" s="1"/>
  <c r="X156" i="1"/>
  <c r="Z156" i="1" s="1"/>
  <c r="N154" i="1"/>
  <c r="P154" i="1" s="1"/>
  <c r="U204" i="1"/>
  <c r="J269" i="2"/>
  <c r="AM9" i="2" s="1"/>
  <c r="J277" i="2"/>
  <c r="AM13" i="2" s="1"/>
  <c r="Y13" i="1" s="1"/>
  <c r="J273" i="2"/>
  <c r="AM11" i="2" s="1"/>
  <c r="J271" i="2"/>
  <c r="AM10" i="2" s="1"/>
  <c r="J279" i="2"/>
  <c r="AM14" i="2" s="1"/>
  <c r="Y14" i="1" s="1"/>
  <c r="J267" i="2"/>
  <c r="AM8" i="2" s="1"/>
  <c r="Y8" i="1" s="1"/>
  <c r="J275" i="2"/>
  <c r="AM12" i="2" s="1"/>
  <c r="Y12" i="1" s="1"/>
  <c r="I253" i="2"/>
  <c r="AL10" i="2" s="1"/>
  <c r="X10" i="1" s="1"/>
  <c r="I259" i="2"/>
  <c r="AL13" i="2" s="1"/>
  <c r="X13" i="1" s="1"/>
  <c r="I261" i="2"/>
  <c r="AL14" i="2" s="1"/>
  <c r="X14" i="1" s="1"/>
  <c r="I251" i="2"/>
  <c r="AL9" i="2" s="1"/>
  <c r="X9" i="1" s="1"/>
  <c r="I249" i="2"/>
  <c r="AL8" i="2" s="1"/>
  <c r="X8" i="1" s="1"/>
  <c r="I257" i="2"/>
  <c r="AL12" i="2" s="1"/>
  <c r="X12" i="1" s="1"/>
  <c r="G231" i="2"/>
  <c r="AK8" i="2" s="1"/>
  <c r="G233" i="2"/>
  <c r="AK9" i="2" s="1"/>
  <c r="W9" i="1" s="1"/>
  <c r="G235" i="2"/>
  <c r="AK10" i="2" s="1"/>
  <c r="W10" i="1" s="1"/>
  <c r="G239" i="2"/>
  <c r="AK12" i="2" s="1"/>
  <c r="G241" i="2"/>
  <c r="AK13" i="2" s="1"/>
  <c r="G237" i="2"/>
  <c r="AK11" i="2" s="1"/>
  <c r="W11" i="1" s="1"/>
  <c r="G243" i="2"/>
  <c r="AK14" i="2" s="1"/>
  <c r="G175" i="2"/>
  <c r="AF8" i="2" s="1"/>
  <c r="J211" i="2"/>
  <c r="AH8" i="2" s="1"/>
  <c r="T8" i="1" s="1"/>
  <c r="J219" i="2"/>
  <c r="AH12" i="2" s="1"/>
  <c r="T12" i="1" s="1"/>
  <c r="J217" i="2"/>
  <c r="AH11" i="2" s="1"/>
  <c r="T11" i="1" s="1"/>
  <c r="J215" i="2"/>
  <c r="AH10" i="2" s="1"/>
  <c r="T10" i="1" s="1"/>
  <c r="J223" i="2"/>
  <c r="AH14" i="2" s="1"/>
  <c r="T14" i="1" s="1"/>
  <c r="I197" i="2"/>
  <c r="AG10" i="2" s="1"/>
  <c r="S10" i="1" s="1"/>
  <c r="I203" i="2"/>
  <c r="AG13" i="2" s="1"/>
  <c r="S13" i="1" s="1"/>
  <c r="I205" i="2"/>
  <c r="AG14" i="2" s="1"/>
  <c r="S14" i="1" s="1"/>
  <c r="I195" i="2"/>
  <c r="AG9" i="2" s="1"/>
  <c r="I193" i="2"/>
  <c r="AG8" i="2" s="1"/>
  <c r="S8" i="1" s="1"/>
  <c r="I201" i="2"/>
  <c r="AG12" i="2" s="1"/>
  <c r="S12" i="1" s="1"/>
  <c r="I138" i="2"/>
  <c r="AB8" i="2" s="1"/>
  <c r="N8" i="1" s="1"/>
  <c r="J156" i="2"/>
  <c r="AC8" i="2" s="1"/>
  <c r="O8" i="1" s="1"/>
  <c r="J164" i="2"/>
  <c r="AC12" i="2" s="1"/>
  <c r="O12" i="1" s="1"/>
  <c r="J162" i="2"/>
  <c r="AC11" i="2" s="1"/>
  <c r="O11" i="1" s="1"/>
  <c r="J160" i="2"/>
  <c r="AC10" i="2" s="1"/>
  <c r="O10" i="1" s="1"/>
  <c r="J168" i="2"/>
  <c r="AC14" i="2" s="1"/>
  <c r="O14" i="1" s="1"/>
  <c r="I142" i="2"/>
  <c r="AB10" i="2" s="1"/>
  <c r="N10" i="1" s="1"/>
  <c r="I150" i="2"/>
  <c r="AB14" i="2" s="1"/>
  <c r="N14" i="1" s="1"/>
  <c r="I140" i="2"/>
  <c r="AB9" i="2" s="1"/>
  <c r="N9" i="1" s="1"/>
  <c r="I148" i="2"/>
  <c r="AB13" i="2" s="1"/>
  <c r="N13" i="1" s="1"/>
  <c r="G120" i="2"/>
  <c r="AA8" i="2" s="1"/>
  <c r="G122" i="2"/>
  <c r="AA9" i="2" s="1"/>
  <c r="G124" i="2"/>
  <c r="AA10" i="2" s="1"/>
  <c r="G126" i="2"/>
  <c r="AA11" i="2" s="1"/>
  <c r="G128" i="2"/>
  <c r="AA12" i="2" s="1"/>
  <c r="G132" i="2"/>
  <c r="AA14" i="2" s="1"/>
  <c r="G130" i="2"/>
  <c r="AA13" i="2" s="1"/>
  <c r="I27" i="2"/>
  <c r="R9" i="2" s="1"/>
  <c r="D9" i="1" s="1"/>
  <c r="D195" i="1" s="1"/>
  <c r="D259" i="1" s="1"/>
  <c r="J45" i="2"/>
  <c r="S9" i="2" s="1"/>
  <c r="E9" i="1" s="1"/>
  <c r="I90" i="2"/>
  <c r="W12" i="2" s="1"/>
  <c r="I12" i="1" s="1"/>
  <c r="J53" i="2"/>
  <c r="S13" i="2" s="1"/>
  <c r="E13" i="1" s="1"/>
  <c r="I82" i="2"/>
  <c r="W8" i="2" s="1"/>
  <c r="I8" i="1" s="1"/>
  <c r="I94" i="2"/>
  <c r="W14" i="2" s="1"/>
  <c r="I14" i="1" s="1"/>
  <c r="I35" i="2"/>
  <c r="R13" i="2" s="1"/>
  <c r="D13" i="1" s="1"/>
  <c r="D199" i="1" s="1"/>
  <c r="D263" i="1" s="1"/>
  <c r="G7" i="2"/>
  <c r="Q8" i="2" s="1"/>
  <c r="G9" i="2"/>
  <c r="Q9" i="2" s="1"/>
  <c r="G11" i="2"/>
  <c r="Q10" i="2" s="1"/>
  <c r="G13" i="2"/>
  <c r="Q11" i="2" s="1"/>
  <c r="G15" i="2"/>
  <c r="Q12" i="2" s="1"/>
  <c r="G19" i="2"/>
  <c r="Q14" i="2" s="1"/>
  <c r="I29" i="2"/>
  <c r="R10" i="2" s="1"/>
  <c r="D10" i="1" s="1"/>
  <c r="D196" i="1" s="1"/>
  <c r="D260" i="1" s="1"/>
  <c r="I37" i="2"/>
  <c r="R14" i="2" s="1"/>
  <c r="D14" i="1" s="1"/>
  <c r="D200" i="1" s="1"/>
  <c r="D264" i="1" s="1"/>
  <c r="I33" i="2"/>
  <c r="R12" i="2" s="1"/>
  <c r="D12" i="1" s="1"/>
  <c r="D198" i="1" s="1"/>
  <c r="D262" i="1" s="1"/>
  <c r="J49" i="2"/>
  <c r="S11" i="2" s="1"/>
  <c r="E11" i="1" s="1"/>
  <c r="J100" i="2"/>
  <c r="X8" i="2" s="1"/>
  <c r="J8" i="1" s="1"/>
  <c r="J108" i="2"/>
  <c r="X12" i="2" s="1"/>
  <c r="J12" i="1" s="1"/>
  <c r="I25" i="2"/>
  <c r="R8" i="2" s="1"/>
  <c r="D8" i="1" s="1"/>
  <c r="D194" i="1" s="1"/>
  <c r="D258" i="1" s="1"/>
  <c r="I31" i="2"/>
  <c r="R11" i="2" s="1"/>
  <c r="D11" i="1" s="1"/>
  <c r="D197" i="1" s="1"/>
  <c r="D261" i="1" s="1"/>
  <c r="J43" i="2"/>
  <c r="S8" i="2" s="1"/>
  <c r="E8" i="1" s="1"/>
  <c r="E194" i="1" s="1"/>
  <c r="E258" i="1" s="1"/>
  <c r="J47" i="2"/>
  <c r="S10" i="2" s="1"/>
  <c r="E10" i="1" s="1"/>
  <c r="E196" i="1" s="1"/>
  <c r="E260" i="1" s="1"/>
  <c r="J51" i="2"/>
  <c r="S12" i="2" s="1"/>
  <c r="E12" i="1" s="1"/>
  <c r="E198" i="1" s="1"/>
  <c r="E262" i="1" s="1"/>
  <c r="J106" i="2"/>
  <c r="X11" i="2" s="1"/>
  <c r="J11" i="1" s="1"/>
  <c r="I86" i="2"/>
  <c r="W10" i="2" s="1"/>
  <c r="I10" i="1" s="1"/>
  <c r="I88" i="2"/>
  <c r="W11" i="2" s="1"/>
  <c r="I11" i="1" s="1"/>
  <c r="J104" i="2"/>
  <c r="X10" i="2" s="1"/>
  <c r="J10" i="1" s="1"/>
  <c r="J112" i="2"/>
  <c r="X14" i="2" s="1"/>
  <c r="J14" i="1" s="1"/>
  <c r="G64" i="2"/>
  <c r="V8" i="2" s="1"/>
  <c r="G66" i="2"/>
  <c r="V9" i="2" s="1"/>
  <c r="G68" i="2"/>
  <c r="V10" i="2" s="1"/>
  <c r="G70" i="2"/>
  <c r="V11" i="2" s="1"/>
  <c r="G72" i="2"/>
  <c r="V12" i="2" s="1"/>
  <c r="G74" i="2"/>
  <c r="V13" i="2" s="1"/>
  <c r="G76" i="2"/>
  <c r="V14" i="2" s="1"/>
  <c r="I84" i="2"/>
  <c r="W9" i="2" s="1"/>
  <c r="I9" i="1" s="1"/>
  <c r="I92" i="2"/>
  <c r="W13" i="2" s="1"/>
  <c r="I13" i="1" s="1"/>
  <c r="J110" i="2"/>
  <c r="X13" i="2" s="1"/>
  <c r="J13" i="1" s="1"/>
  <c r="J55" i="2"/>
  <c r="S14" i="2" s="1"/>
  <c r="E14" i="1" s="1"/>
  <c r="K294" i="1" l="1"/>
  <c r="F294" i="1"/>
  <c r="N197" i="1"/>
  <c r="N261" i="1" s="1"/>
  <c r="D265" i="1"/>
  <c r="H13" i="1"/>
  <c r="K13" i="1" s="1"/>
  <c r="Y13" i="2"/>
  <c r="H9" i="1"/>
  <c r="K9" i="1" s="1"/>
  <c r="Y9" i="2"/>
  <c r="T11" i="2"/>
  <c r="C11" i="1"/>
  <c r="M14" i="1"/>
  <c r="P14" i="1" s="1"/>
  <c r="AD14" i="2"/>
  <c r="AI14" i="2"/>
  <c r="R14" i="1"/>
  <c r="Y8" i="2"/>
  <c r="H8" i="1"/>
  <c r="T10" i="2"/>
  <c r="C10" i="1"/>
  <c r="M12" i="1"/>
  <c r="P12" i="1" s="1"/>
  <c r="AD12" i="2"/>
  <c r="AD8" i="2"/>
  <c r="M8" i="1"/>
  <c r="R13" i="1"/>
  <c r="AI13" i="2"/>
  <c r="C14" i="1"/>
  <c r="T14" i="2"/>
  <c r="AD11" i="2"/>
  <c r="M11" i="1"/>
  <c r="P11" i="1" s="1"/>
  <c r="P197" i="1" s="1"/>
  <c r="P261" i="1" s="1"/>
  <c r="AN13" i="2"/>
  <c r="W13" i="1"/>
  <c r="AI12" i="2"/>
  <c r="R12" i="1"/>
  <c r="M9" i="1"/>
  <c r="P9" i="1" s="1"/>
  <c r="AD9" i="2"/>
  <c r="AN14" i="2"/>
  <c r="W14" i="1"/>
  <c r="Z14" i="1" s="1"/>
  <c r="AN10" i="2"/>
  <c r="Y10" i="1"/>
  <c r="AI10" i="2"/>
  <c r="R10" i="1"/>
  <c r="U10" i="1" s="1"/>
  <c r="H12" i="1"/>
  <c r="K12" i="1" s="1"/>
  <c r="Y12" i="2"/>
  <c r="AN11" i="2"/>
  <c r="Y11" i="1"/>
  <c r="H11" i="1"/>
  <c r="K11" i="1" s="1"/>
  <c r="Y11" i="2"/>
  <c r="C9" i="1"/>
  <c r="T9" i="2"/>
  <c r="AI9" i="2"/>
  <c r="S9" i="1"/>
  <c r="W8" i="1"/>
  <c r="AN8" i="2"/>
  <c r="Y14" i="2"/>
  <c r="H14" i="1"/>
  <c r="K14" i="1" s="1"/>
  <c r="Y10" i="2"/>
  <c r="H10" i="1"/>
  <c r="K10" i="1" s="1"/>
  <c r="K196" i="1" s="1"/>
  <c r="K260" i="1" s="1"/>
  <c r="C12" i="1"/>
  <c r="F12" i="1" s="1"/>
  <c r="F198" i="1" s="1"/>
  <c r="F262" i="1" s="1"/>
  <c r="T12" i="2"/>
  <c r="C8" i="1"/>
  <c r="T8" i="2"/>
  <c r="M13" i="1"/>
  <c r="P13" i="1" s="1"/>
  <c r="AD13" i="2"/>
  <c r="M10" i="1"/>
  <c r="P10" i="1" s="1"/>
  <c r="AD10" i="2"/>
  <c r="R8" i="1"/>
  <c r="AI8" i="2"/>
  <c r="W12" i="1"/>
  <c r="AN12" i="2"/>
  <c r="AN9" i="2"/>
  <c r="Y9" i="1"/>
  <c r="AI11" i="2"/>
  <c r="R11" i="1"/>
  <c r="C13" i="1"/>
  <c r="T13" i="2"/>
  <c r="P71" i="1"/>
  <c r="N200" i="1"/>
  <c r="N264" i="1" s="1"/>
  <c r="S200" i="1"/>
  <c r="S264" i="1" s="1"/>
  <c r="N195" i="1"/>
  <c r="N259" i="1" s="1"/>
  <c r="S195" i="1"/>
  <c r="S259" i="1" s="1"/>
  <c r="P75" i="1"/>
  <c r="P76" i="1"/>
  <c r="S73" i="1"/>
  <c r="U73" i="1" s="1"/>
  <c r="N70" i="1"/>
  <c r="S70" i="1" s="1"/>
  <c r="X70" i="1" s="1"/>
  <c r="I194" i="1"/>
  <c r="I258" i="1" s="1"/>
  <c r="I265" i="1" s="1"/>
  <c r="G284" i="2"/>
  <c r="H284" i="2" s="1"/>
  <c r="E294" i="2"/>
  <c r="P294" i="1"/>
  <c r="U235" i="1"/>
  <c r="U269" i="1" s="1"/>
  <c r="U391" i="1" s="1"/>
  <c r="U317" i="1" s="1"/>
  <c r="U493" i="1" s="1"/>
  <c r="K235" i="1"/>
  <c r="K269" i="1" s="1"/>
  <c r="K391" i="1" s="1"/>
  <c r="K317" i="1" s="1"/>
  <c r="K493" i="1" s="1"/>
  <c r="K247" i="1"/>
  <c r="K270" i="1" s="1"/>
  <c r="U247" i="1"/>
  <c r="U270" i="1" s="1"/>
  <c r="Z247" i="1"/>
  <c r="Z270" i="1" s="1"/>
  <c r="F235" i="1"/>
  <c r="F269" i="1" s="1"/>
  <c r="F391" i="1" s="1"/>
  <c r="Z235" i="1"/>
  <c r="Z269" i="1" s="1"/>
  <c r="Z391" i="1" s="1"/>
  <c r="Z317" i="1" s="1"/>
  <c r="Z493" i="1" s="1"/>
  <c r="P235" i="1"/>
  <c r="P269" i="1" s="1"/>
  <c r="P391" i="1" s="1"/>
  <c r="P317" i="1" s="1"/>
  <c r="P493" i="1" s="1"/>
  <c r="P247" i="1"/>
  <c r="P270" i="1" s="1"/>
  <c r="T198" i="1"/>
  <c r="T262" i="1" s="1"/>
  <c r="T265" i="1" s="1"/>
  <c r="O198" i="1"/>
  <c r="O262" i="1" s="1"/>
  <c r="K199" i="1"/>
  <c r="K263" i="1" s="1"/>
  <c r="K198" i="1"/>
  <c r="K262" i="1" s="1"/>
  <c r="K197" i="1"/>
  <c r="K261" i="1" s="1"/>
  <c r="R200" i="1"/>
  <c r="R264" i="1" s="1"/>
  <c r="K195" i="1"/>
  <c r="K259" i="1" s="1"/>
  <c r="K200" i="1"/>
  <c r="K264" i="1" s="1"/>
  <c r="R196" i="1"/>
  <c r="R260" i="1" s="1"/>
  <c r="K132" i="1"/>
  <c r="J265" i="1"/>
  <c r="S74" i="1"/>
  <c r="N198" i="1"/>
  <c r="N262" i="1" s="1"/>
  <c r="M194" i="1"/>
  <c r="M258" i="1" s="1"/>
  <c r="M197" i="1"/>
  <c r="M261" i="1" s="1"/>
  <c r="S72" i="1"/>
  <c r="U72" i="1" s="1"/>
  <c r="N196" i="1"/>
  <c r="N260" i="1" s="1"/>
  <c r="N199" i="1"/>
  <c r="N263" i="1" s="1"/>
  <c r="Z10" i="1"/>
  <c r="U9" i="1"/>
  <c r="R198" i="1"/>
  <c r="R262" i="1" s="1"/>
  <c r="U14" i="1"/>
  <c r="K8" i="1"/>
  <c r="H194" i="1"/>
  <c r="H258" i="1" s="1"/>
  <c r="H265" i="1" s="1"/>
  <c r="Y194" i="1"/>
  <c r="Y258" i="1" s="1"/>
  <c r="Y265" i="1" s="1"/>
  <c r="O194" i="1"/>
  <c r="O258" i="1" s="1"/>
  <c r="K36" i="1"/>
  <c r="I216" i="1"/>
  <c r="K216" i="1" s="1"/>
  <c r="F215" i="1"/>
  <c r="F222" i="1" s="1"/>
  <c r="F268" i="1" s="1"/>
  <c r="I218" i="1"/>
  <c r="K218" i="1" s="1"/>
  <c r="U215" i="1"/>
  <c r="U222" i="1" s="1"/>
  <c r="U268" i="1" s="1"/>
  <c r="I217" i="1"/>
  <c r="K217" i="1" s="1"/>
  <c r="K160" i="1"/>
  <c r="K215" i="1"/>
  <c r="P30" i="1"/>
  <c r="N216" i="1"/>
  <c r="P216" i="1" s="1"/>
  <c r="P32" i="1"/>
  <c r="N218" i="1"/>
  <c r="P218" i="1" s="1"/>
  <c r="Z31" i="1"/>
  <c r="X217" i="1"/>
  <c r="Z217" i="1" s="1"/>
  <c r="Z30" i="1"/>
  <c r="X216" i="1"/>
  <c r="Z216" i="1" s="1"/>
  <c r="Z32" i="1"/>
  <c r="X218" i="1"/>
  <c r="Z218" i="1" s="1"/>
  <c r="P31" i="1"/>
  <c r="N217" i="1"/>
  <c r="P217" i="1" s="1"/>
  <c r="K98" i="1"/>
  <c r="P132" i="1"/>
  <c r="P133" i="1"/>
  <c r="P195" i="1" s="1"/>
  <c r="P259" i="1" s="1"/>
  <c r="R133" i="1"/>
  <c r="R195" i="1" s="1"/>
  <c r="R259" i="1" s="1"/>
  <c r="U138" i="1"/>
  <c r="W138" i="1"/>
  <c r="Z138" i="1" s="1"/>
  <c r="P137" i="1"/>
  <c r="R137" i="1"/>
  <c r="R199" i="1" s="1"/>
  <c r="R263" i="1" s="1"/>
  <c r="U71" i="1"/>
  <c r="W71" i="1"/>
  <c r="Z71" i="1" s="1"/>
  <c r="W72" i="1"/>
  <c r="W73" i="1"/>
  <c r="U76" i="1"/>
  <c r="W76" i="1"/>
  <c r="P74" i="1"/>
  <c r="P72" i="1"/>
  <c r="P196" i="1" s="1"/>
  <c r="P260" i="1" s="1"/>
  <c r="W135" i="1"/>
  <c r="Z135" i="1" s="1"/>
  <c r="U135" i="1"/>
  <c r="W134" i="1"/>
  <c r="Z134" i="1" s="1"/>
  <c r="U134" i="1"/>
  <c r="W136" i="1"/>
  <c r="Z136" i="1" s="1"/>
  <c r="U136" i="1"/>
  <c r="U75" i="1"/>
  <c r="W75" i="1"/>
  <c r="U132" i="1"/>
  <c r="Z132" i="1"/>
  <c r="P160" i="1"/>
  <c r="Z160" i="1"/>
  <c r="Z98" i="1"/>
  <c r="P98" i="1"/>
  <c r="Z209" i="1"/>
  <c r="Z211" i="1"/>
  <c r="P214" i="1"/>
  <c r="P212" i="1"/>
  <c r="P207" i="1"/>
  <c r="E265" i="1"/>
  <c r="P200" i="1" l="1"/>
  <c r="P264" i="1" s="1"/>
  <c r="C194" i="1"/>
  <c r="C258" i="1" s="1"/>
  <c r="F8" i="1"/>
  <c r="F194" i="1" s="1"/>
  <c r="F258" i="1" s="1"/>
  <c r="C196" i="1"/>
  <c r="C260" i="1" s="1"/>
  <c r="F10" i="1"/>
  <c r="F196" i="1" s="1"/>
  <c r="F260" i="1" s="1"/>
  <c r="C197" i="1"/>
  <c r="C261" i="1" s="1"/>
  <c r="F11" i="1"/>
  <c r="F197" i="1" s="1"/>
  <c r="F261" i="1" s="1"/>
  <c r="C195" i="1"/>
  <c r="C259" i="1" s="1"/>
  <c r="F9" i="1"/>
  <c r="F195" i="1" s="1"/>
  <c r="F259" i="1" s="1"/>
  <c r="C199" i="1"/>
  <c r="C263" i="1" s="1"/>
  <c r="F13" i="1"/>
  <c r="F199" i="1" s="1"/>
  <c r="F263" i="1" s="1"/>
  <c r="C200" i="1"/>
  <c r="C264" i="1" s="1"/>
  <c r="F14" i="1"/>
  <c r="F200" i="1" s="1"/>
  <c r="F264" i="1" s="1"/>
  <c r="P199" i="1"/>
  <c r="P263" i="1" s="1"/>
  <c r="F317" i="1"/>
  <c r="F285" i="2"/>
  <c r="K63" i="1" s="1"/>
  <c r="K125" i="1" s="1"/>
  <c r="K187" i="1" s="1"/>
  <c r="X73" i="1"/>
  <c r="X197" i="1" s="1"/>
  <c r="X261" i="1" s="1"/>
  <c r="S197" i="1"/>
  <c r="S261" i="1" s="1"/>
  <c r="F125" i="1"/>
  <c r="F65" i="1"/>
  <c r="Z294" i="1"/>
  <c r="U294" i="1"/>
  <c r="Z353" i="1"/>
  <c r="U353" i="1"/>
  <c r="P353" i="1"/>
  <c r="F273" i="1"/>
  <c r="U273" i="1"/>
  <c r="O265" i="1"/>
  <c r="U200" i="1"/>
  <c r="U264" i="1" s="1"/>
  <c r="X199" i="1"/>
  <c r="X263" i="1" s="1"/>
  <c r="S199" i="1"/>
  <c r="S263" i="1" s="1"/>
  <c r="U196" i="1"/>
  <c r="U260" i="1" s="1"/>
  <c r="P36" i="1"/>
  <c r="X74" i="1"/>
  <c r="S198" i="1"/>
  <c r="S262" i="1" s="1"/>
  <c r="Z76" i="1"/>
  <c r="Z200" i="1" s="1"/>
  <c r="Z264" i="1" s="1"/>
  <c r="W200" i="1"/>
  <c r="W264" i="1" s="1"/>
  <c r="P198" i="1"/>
  <c r="P262" i="1" s="1"/>
  <c r="Z9" i="1"/>
  <c r="X72" i="1"/>
  <c r="X196" i="1" s="1"/>
  <c r="X260" i="1" s="1"/>
  <c r="S196" i="1"/>
  <c r="S260" i="1" s="1"/>
  <c r="M265" i="1"/>
  <c r="Z75" i="1"/>
  <c r="U74" i="1"/>
  <c r="W196" i="1"/>
  <c r="W260" i="1" s="1"/>
  <c r="U12" i="1"/>
  <c r="U13" i="1"/>
  <c r="R197" i="1"/>
  <c r="R261" i="1" s="1"/>
  <c r="U11" i="1"/>
  <c r="U197" i="1" s="1"/>
  <c r="U261" i="1" s="1"/>
  <c r="R194" i="1"/>
  <c r="R258" i="1" s="1"/>
  <c r="U8" i="1"/>
  <c r="N194" i="1"/>
  <c r="N258" i="1" s="1"/>
  <c r="N265" i="1" s="1"/>
  <c r="P8" i="1"/>
  <c r="K222" i="1"/>
  <c r="K268" i="1" s="1"/>
  <c r="K273" i="1" s="1"/>
  <c r="Z36" i="1"/>
  <c r="W194" i="1"/>
  <c r="W258" i="1" s="1"/>
  <c r="U137" i="1"/>
  <c r="W137" i="1"/>
  <c r="Z137" i="1" s="1"/>
  <c r="U133" i="1"/>
  <c r="U195" i="1" s="1"/>
  <c r="U259" i="1" s="1"/>
  <c r="W133" i="1"/>
  <c r="Z133" i="1" s="1"/>
  <c r="X194" i="1"/>
  <c r="X258" i="1" s="1"/>
  <c r="S194" i="1"/>
  <c r="S258" i="1" s="1"/>
  <c r="Z215" i="1"/>
  <c r="Z222" i="1" s="1"/>
  <c r="Z268" i="1" s="1"/>
  <c r="Z273" i="1" s="1"/>
  <c r="P209" i="1"/>
  <c r="F265" i="1" l="1"/>
  <c r="C265" i="1"/>
  <c r="F353" i="1"/>
  <c r="F493" i="1"/>
  <c r="K353" i="1"/>
  <c r="G285" i="2"/>
  <c r="F316" i="1" s="1"/>
  <c r="K65" i="1"/>
  <c r="K127" i="1"/>
  <c r="K249" i="1"/>
  <c r="K251" i="1" s="1"/>
  <c r="K276" i="1" s="1"/>
  <c r="K189" i="1"/>
  <c r="Z73" i="1"/>
  <c r="F187" i="1"/>
  <c r="F127" i="1"/>
  <c r="F336" i="1"/>
  <c r="J305" i="1"/>
  <c r="I305" i="1"/>
  <c r="Y305" i="1"/>
  <c r="T305" i="1"/>
  <c r="W199" i="1"/>
  <c r="W263" i="1" s="1"/>
  <c r="Z195" i="1"/>
  <c r="Z259" i="1" s="1"/>
  <c r="W195" i="1"/>
  <c r="W259" i="1" s="1"/>
  <c r="U199" i="1"/>
  <c r="U263" i="1" s="1"/>
  <c r="U198" i="1"/>
  <c r="U262" i="1" s="1"/>
  <c r="Z13" i="1"/>
  <c r="Z199" i="1" s="1"/>
  <c r="Z263" i="1" s="1"/>
  <c r="Z12" i="1"/>
  <c r="W198" i="1"/>
  <c r="W262" i="1" s="1"/>
  <c r="Z72" i="1"/>
  <c r="Z196" i="1" s="1"/>
  <c r="Z260" i="1" s="1"/>
  <c r="S265" i="1"/>
  <c r="W197" i="1"/>
  <c r="W261" i="1" s="1"/>
  <c r="Z11" i="1"/>
  <c r="R265" i="1"/>
  <c r="X198" i="1"/>
  <c r="X262" i="1" s="1"/>
  <c r="X265" i="1" s="1"/>
  <c r="Z74" i="1"/>
  <c r="Z8" i="1"/>
  <c r="P213" i="1"/>
  <c r="P211" i="1"/>
  <c r="F390" i="1" l="1"/>
  <c r="F298" i="1" s="1"/>
  <c r="F492" i="1" s="1"/>
  <c r="F274" i="1"/>
  <c r="Z197" i="1"/>
  <c r="Z261" i="1" s="1"/>
  <c r="H285" i="2"/>
  <c r="F309" i="1" s="1"/>
  <c r="F312" i="1" s="1"/>
  <c r="K326" i="1"/>
  <c r="K342" i="1" s="1"/>
  <c r="D420" i="1"/>
  <c r="B409" i="1"/>
  <c r="F249" i="1"/>
  <c r="F251" i="1" s="1"/>
  <c r="F189" i="1"/>
  <c r="H305" i="1"/>
  <c r="N305" i="1"/>
  <c r="Z198" i="1"/>
  <c r="Z262" i="1" s="1"/>
  <c r="W265" i="1"/>
  <c r="P215" i="1"/>
  <c r="P222" i="1" s="1"/>
  <c r="P268" i="1" s="1"/>
  <c r="P273" i="1" s="1"/>
  <c r="F351" i="1" l="1"/>
  <c r="F354" i="1" s="1"/>
  <c r="F327" i="1" s="1"/>
  <c r="B427" i="1"/>
  <c r="B428" i="1" s="1"/>
  <c r="F286" i="2"/>
  <c r="F276" i="1"/>
  <c r="B411" i="1"/>
  <c r="C410" i="1" s="1"/>
  <c r="M305" i="1"/>
  <c r="O305" i="1"/>
  <c r="S305" i="1"/>
  <c r="R305" i="1"/>
  <c r="K70" i="1"/>
  <c r="K194" i="1" s="1"/>
  <c r="K258" i="1" s="1"/>
  <c r="K265" i="1" s="1"/>
  <c r="K390" i="1" s="1"/>
  <c r="K298" i="1" s="1"/>
  <c r="K351" i="1" s="1"/>
  <c r="K354" i="1" s="1"/>
  <c r="C425" i="1" l="1"/>
  <c r="F277" i="1"/>
  <c r="F482" i="1" s="1"/>
  <c r="F499" i="1"/>
  <c r="D425" i="1"/>
  <c r="K492" i="1"/>
  <c r="P63" i="1"/>
  <c r="G286" i="2"/>
  <c r="C420" i="1"/>
  <c r="F326" i="1"/>
  <c r="F342" i="1" s="1"/>
  <c r="C409" i="1"/>
  <c r="C411" i="1" s="1"/>
  <c r="K274" i="1"/>
  <c r="X305" i="1"/>
  <c r="P70" i="1"/>
  <c r="P194" i="1" s="1"/>
  <c r="P258" i="1" s="1"/>
  <c r="P265" i="1" s="1"/>
  <c r="P390" i="1" s="1"/>
  <c r="P298" i="1" s="1"/>
  <c r="U70" i="1"/>
  <c r="U194" i="1" s="1"/>
  <c r="U258" i="1" s="1"/>
  <c r="U265" i="1" s="1"/>
  <c r="U390" i="1" s="1"/>
  <c r="U298" i="1" s="1"/>
  <c r="U492" i="1" s="1"/>
  <c r="K327" i="1" l="1"/>
  <c r="F279" i="1"/>
  <c r="F483" i="1" s="1"/>
  <c r="K277" i="1"/>
  <c r="K482" i="1" s="1"/>
  <c r="K499" i="1"/>
  <c r="P351" i="1"/>
  <c r="P354" i="1" s="1"/>
  <c r="P327" i="1" s="1"/>
  <c r="P492" i="1"/>
  <c r="K316" i="1"/>
  <c r="H286" i="2"/>
  <c r="P125" i="1"/>
  <c r="P65" i="1"/>
  <c r="E409" i="1"/>
  <c r="B398" i="1" s="1"/>
  <c r="K416" i="1" s="1"/>
  <c r="U351" i="1"/>
  <c r="U354" i="1" s="1"/>
  <c r="P274" i="1"/>
  <c r="U274" i="1"/>
  <c r="W305" i="1"/>
  <c r="Z70" i="1"/>
  <c r="Z194" i="1" s="1"/>
  <c r="Z258" i="1" s="1"/>
  <c r="F280" i="1" l="1"/>
  <c r="F282" i="1" s="1"/>
  <c r="K279" i="1"/>
  <c r="K280" i="1" s="1"/>
  <c r="K282" i="1" s="1"/>
  <c r="E425" i="1"/>
  <c r="P187" i="1"/>
  <c r="P127" i="1"/>
  <c r="K309" i="1"/>
  <c r="K312" i="1" s="1"/>
  <c r="F287" i="2"/>
  <c r="U327" i="1"/>
  <c r="F425" i="1"/>
  <c r="Z265" i="1"/>
  <c r="Z390" i="1" s="1"/>
  <c r="Z298" i="1" s="1"/>
  <c r="F502" i="1" l="1"/>
  <c r="F324" i="1"/>
  <c r="C419" i="1"/>
  <c r="F305" i="1"/>
  <c r="K305" i="1"/>
  <c r="K502" i="1"/>
  <c r="K483" i="1"/>
  <c r="Z351" i="1"/>
  <c r="Z354" i="1" s="1"/>
  <c r="G425" i="1" s="1"/>
  <c r="Z492" i="1"/>
  <c r="K324" i="1"/>
  <c r="K328" i="1" s="1"/>
  <c r="K344" i="1" s="1"/>
  <c r="D419" i="1"/>
  <c r="D421" i="1" s="1"/>
  <c r="D422" i="1" s="1"/>
  <c r="D426" i="1" s="1"/>
  <c r="D428" i="1" s="1"/>
  <c r="D438" i="1" s="1"/>
  <c r="P189" i="1"/>
  <c r="P249" i="1"/>
  <c r="P251" i="1" s="1"/>
  <c r="P276" i="1" s="1"/>
  <c r="P499" i="1" s="1"/>
  <c r="U63" i="1"/>
  <c r="G287" i="2"/>
  <c r="Z274" i="1"/>
  <c r="Z327" i="1" l="1"/>
  <c r="U65" i="1"/>
  <c r="U125" i="1"/>
  <c r="E420" i="1"/>
  <c r="P326" i="1"/>
  <c r="P342" i="1" s="1"/>
  <c r="P277" i="1"/>
  <c r="P482" i="1" s="1"/>
  <c r="P316" i="1"/>
  <c r="H287" i="2"/>
  <c r="P309" i="1" l="1"/>
  <c r="P312" i="1" s="1"/>
  <c r="F288" i="2"/>
  <c r="U127" i="1"/>
  <c r="U187" i="1"/>
  <c r="P279" i="1"/>
  <c r="P280" i="1" l="1"/>
  <c r="P282" i="1" s="1"/>
  <c r="P483" i="1"/>
  <c r="U189" i="1"/>
  <c r="U249" i="1"/>
  <c r="U251" i="1" s="1"/>
  <c r="U276" i="1" s="1"/>
  <c r="U499" i="1" s="1"/>
  <c r="Z63" i="1"/>
  <c r="G288" i="2"/>
  <c r="E419" i="1" l="1"/>
  <c r="E421" i="1" s="1"/>
  <c r="E422" i="1" s="1"/>
  <c r="E426" i="1" s="1"/>
  <c r="E428" i="1" s="1"/>
  <c r="E438" i="1" s="1"/>
  <c r="P502" i="1"/>
  <c r="P324" i="1"/>
  <c r="P328" i="1" s="1"/>
  <c r="P344" i="1" s="1"/>
  <c r="P305" i="1"/>
  <c r="U316" i="1"/>
  <c r="H288" i="2"/>
  <c r="Z125" i="1"/>
  <c r="Z65" i="1"/>
  <c r="U277" i="1"/>
  <c r="F420" i="1"/>
  <c r="U326" i="1"/>
  <c r="U342" i="1" s="1"/>
  <c r="U279" i="1" l="1"/>
  <c r="U482" i="1"/>
  <c r="Z187" i="1"/>
  <c r="Z127" i="1"/>
  <c r="F289" i="2"/>
  <c r="G289" i="2" s="1"/>
  <c r="Z316" i="1" s="1"/>
  <c r="U309" i="1"/>
  <c r="U312" i="1" s="1"/>
  <c r="U280" i="1" l="1"/>
  <c r="U282" i="1" s="1"/>
  <c r="U502" i="1" s="1"/>
  <c r="U483" i="1"/>
  <c r="H289" i="2"/>
  <c r="Z309" i="1" s="1"/>
  <c r="Z312" i="1" s="1"/>
  <c r="Z249" i="1"/>
  <c r="Z251" i="1" s="1"/>
  <c r="Z276" i="1" s="1"/>
  <c r="Z499" i="1" s="1"/>
  <c r="Z189" i="1"/>
  <c r="F419" i="1" l="1"/>
  <c r="F421" i="1" s="1"/>
  <c r="F422" i="1" s="1"/>
  <c r="F426" i="1" s="1"/>
  <c r="F428" i="1" s="1"/>
  <c r="F438" i="1" s="1"/>
  <c r="U305" i="1"/>
  <c r="U324" i="1"/>
  <c r="U328" i="1" s="1"/>
  <c r="U344" i="1" s="1"/>
  <c r="F290" i="2"/>
  <c r="G290" i="2" s="1"/>
  <c r="H290" i="2" s="1"/>
  <c r="F291" i="2" s="1"/>
  <c r="G291" i="2" s="1"/>
  <c r="Z277" i="1"/>
  <c r="G420" i="1"/>
  <c r="Z326" i="1"/>
  <c r="Z342" i="1" s="1"/>
  <c r="Z279" i="1" l="1"/>
  <c r="Z482" i="1"/>
  <c r="H291" i="2"/>
  <c r="Z280" i="1" l="1"/>
  <c r="Z282" i="1" s="1"/>
  <c r="Z502" i="1" s="1"/>
  <c r="Z483" i="1"/>
  <c r="F292" i="2"/>
  <c r="Z305" i="1" l="1"/>
  <c r="Z324" i="1"/>
  <c r="Z328" i="1" s="1"/>
  <c r="Z344" i="1" s="1"/>
  <c r="G419" i="1"/>
  <c r="G421" i="1" s="1"/>
  <c r="G422" i="1" s="1"/>
  <c r="G426" i="1" s="1"/>
  <c r="G428" i="1" s="1"/>
  <c r="G292" i="2"/>
  <c r="G438" i="1" l="1"/>
  <c r="K415" i="1"/>
  <c r="K417" i="1" s="1"/>
  <c r="H427" i="1" s="1"/>
  <c r="H428" i="1" s="1"/>
  <c r="H292" i="2"/>
  <c r="F293" i="2" s="1"/>
  <c r="G293" i="2" l="1"/>
  <c r="F294" i="2"/>
  <c r="H293" i="2" l="1"/>
  <c r="G294" i="2"/>
  <c r="F464" i="1"/>
  <c r="G464" i="1" s="1"/>
  <c r="F306" i="1"/>
  <c r="C421" i="1"/>
  <c r="F328" i="1"/>
  <c r="F344" i="1" s="1"/>
  <c r="F346" i="1" s="1"/>
  <c r="F297" i="1" s="1"/>
  <c r="F481" i="1" l="1"/>
  <c r="F496" i="1"/>
  <c r="F497" i="1"/>
  <c r="F498" i="1"/>
  <c r="C422" i="1"/>
  <c r="C426" i="1" s="1"/>
  <c r="C428" i="1" s="1"/>
  <c r="K345" i="1"/>
  <c r="K346" i="1" s="1"/>
  <c r="F315" i="1"/>
  <c r="F318" i="1" s="1"/>
  <c r="F319" i="1" s="1"/>
  <c r="F299" i="1"/>
  <c r="F480" i="1"/>
  <c r="K303" i="1"/>
  <c r="K306" i="1" s="1"/>
  <c r="K498" i="1" l="1"/>
  <c r="K496" i="1"/>
  <c r="K497" i="1"/>
  <c r="F487" i="1"/>
  <c r="B432" i="1"/>
  <c r="B431" i="1"/>
  <c r="K421" i="1" s="1"/>
  <c r="C438" i="1"/>
  <c r="F300" i="1"/>
  <c r="F3" i="1" s="1"/>
  <c r="F486" i="1"/>
  <c r="K480" i="1"/>
  <c r="K481" i="1"/>
  <c r="P303" i="1"/>
  <c r="P306" i="1" s="1"/>
  <c r="K297" i="1"/>
  <c r="K299" i="1" s="1"/>
  <c r="K315" i="1"/>
  <c r="K318" i="1" s="1"/>
  <c r="K319" i="1" s="1"/>
  <c r="P345" i="1"/>
  <c r="P346" i="1" s="1"/>
  <c r="P498" i="1" l="1"/>
  <c r="P497" i="1"/>
  <c r="P496" i="1"/>
  <c r="K487" i="1"/>
  <c r="F320" i="1"/>
  <c r="K300" i="1"/>
  <c r="AA328" i="1" s="1"/>
  <c r="K486" i="1"/>
  <c r="P315" i="1"/>
  <c r="P318" i="1" s="1"/>
  <c r="P319" i="1" s="1"/>
  <c r="P297" i="1"/>
  <c r="P299" i="1" s="1"/>
  <c r="U345" i="1"/>
  <c r="U346" i="1" s="1"/>
  <c r="P481" i="1"/>
  <c r="U303" i="1"/>
  <c r="U306" i="1" s="1"/>
  <c r="P480" i="1"/>
  <c r="U497" i="1" l="1"/>
  <c r="U496" i="1"/>
  <c r="U498" i="1"/>
  <c r="K3" i="1"/>
  <c r="K320" i="1"/>
  <c r="P487" i="1"/>
  <c r="P300" i="1"/>
  <c r="P3" i="1" s="1"/>
  <c r="P486" i="1"/>
  <c r="U297" i="1"/>
  <c r="U299" i="1" s="1"/>
  <c r="Z345" i="1"/>
  <c r="Z346" i="1" s="1"/>
  <c r="U315" i="1"/>
  <c r="U318" i="1" s="1"/>
  <c r="U319" i="1" s="1"/>
  <c r="U480" i="1"/>
  <c r="Z303" i="1"/>
  <c r="Z306" i="1" s="1"/>
  <c r="U481" i="1"/>
  <c r="P320" i="1" l="1"/>
  <c r="Z496" i="1"/>
  <c r="Z497" i="1"/>
  <c r="Z498" i="1"/>
  <c r="U487" i="1"/>
  <c r="U300" i="1"/>
  <c r="U320" i="1" s="1"/>
  <c r="U486" i="1"/>
  <c r="Z297" i="1"/>
  <c r="Z315" i="1"/>
  <c r="Z318" i="1" s="1"/>
  <c r="Z319" i="1" s="1"/>
  <c r="Z481" i="1"/>
  <c r="Z480" i="1"/>
  <c r="U3" i="1" l="1"/>
  <c r="K422" i="1"/>
  <c r="K424" i="1" s="1"/>
  <c r="B433" i="1" s="1"/>
  <c r="B464" i="1" s="1"/>
  <c r="Z299" i="1"/>
  <c r="Z487" i="1" s="1"/>
  <c r="Z300" i="1" l="1"/>
  <c r="Z320" i="1" s="1"/>
  <c r="Z486" i="1"/>
  <c r="Z3" i="1" l="1"/>
</calcChain>
</file>

<file path=xl/sharedStrings.xml><?xml version="1.0" encoding="utf-8"?>
<sst xmlns="http://schemas.openxmlformats.org/spreadsheetml/2006/main" count="957" uniqueCount="273">
  <si>
    <t>Year 1</t>
  </si>
  <si>
    <t>Year 2</t>
  </si>
  <si>
    <t>Year 3</t>
  </si>
  <si>
    <t>Year 4</t>
  </si>
  <si>
    <t>Year 5</t>
  </si>
  <si>
    <t>Assumption</t>
  </si>
  <si>
    <t>Income Statement</t>
  </si>
  <si>
    <t>Tution Fee</t>
  </si>
  <si>
    <t>Registration Fee</t>
  </si>
  <si>
    <t>Capital Levy</t>
  </si>
  <si>
    <t>Caution Fee-Refundable</t>
  </si>
  <si>
    <t>Transport Fee</t>
  </si>
  <si>
    <t>Lunch &amp; Snacks Fee</t>
  </si>
  <si>
    <t>Activity Fee</t>
  </si>
  <si>
    <t>Nursery</t>
  </si>
  <si>
    <t>Junior</t>
  </si>
  <si>
    <t>Senior</t>
  </si>
  <si>
    <t>Total Incomes</t>
  </si>
  <si>
    <t>Number Of Students</t>
  </si>
  <si>
    <t>Per Term</t>
  </si>
  <si>
    <t>Annually</t>
  </si>
  <si>
    <t>All Students</t>
  </si>
  <si>
    <t>Play Group</t>
  </si>
  <si>
    <t>Nursery 1</t>
  </si>
  <si>
    <t>Nursery 2</t>
  </si>
  <si>
    <t>Nursery 3</t>
  </si>
  <si>
    <t>Totals</t>
  </si>
  <si>
    <t>Annual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</si>
  <si>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</si>
  <si>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</si>
  <si>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</si>
  <si>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</si>
  <si>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</si>
  <si>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</si>
  <si>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</si>
  <si>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</si>
  <si>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NURSERY</t>
  </si>
  <si>
    <t>SENIOR SCHOOL</t>
  </si>
  <si>
    <t>JUNIOR SCHOOL</t>
  </si>
  <si>
    <t>Salaries &amp; Benefits</t>
  </si>
  <si>
    <t>Salaries - Local Teachers</t>
  </si>
  <si>
    <t>Salaries -Expatriates Teachers</t>
  </si>
  <si>
    <t>Salaries -Principal</t>
  </si>
  <si>
    <t>Salaries -Deputy Principal</t>
  </si>
  <si>
    <t>Section Head - Nursery</t>
  </si>
  <si>
    <t>Section Head - Primary</t>
  </si>
  <si>
    <t>Section Head - High</t>
  </si>
  <si>
    <t xml:space="preserve">           - Support Stuff</t>
  </si>
  <si>
    <t>Salary -Support Stuff</t>
  </si>
  <si>
    <t>Cleaning Services</t>
  </si>
  <si>
    <t>Security Services</t>
  </si>
  <si>
    <t>Benefits - Health</t>
  </si>
  <si>
    <t>Accountant</t>
  </si>
  <si>
    <t>Bursar &amp; Clerk</t>
  </si>
  <si>
    <t>Staff Development</t>
  </si>
  <si>
    <t xml:space="preserve">Monthly </t>
  </si>
  <si>
    <t xml:space="preserve">Number </t>
  </si>
  <si>
    <t>Yearly</t>
  </si>
  <si>
    <t>Expenses</t>
  </si>
  <si>
    <t>Consolidated</t>
  </si>
  <si>
    <t>Utilities</t>
  </si>
  <si>
    <t>Toiletries</t>
  </si>
  <si>
    <t>Internet</t>
  </si>
  <si>
    <t>Staff Food</t>
  </si>
  <si>
    <t>Student Meals and Snack</t>
  </si>
  <si>
    <t>Supplies-Administrative</t>
  </si>
  <si>
    <t>Supplies-General</t>
  </si>
  <si>
    <t>Printing &amp; Advertising</t>
  </si>
  <si>
    <t>Maintenance and Repair</t>
  </si>
  <si>
    <t>Caution Money Refund</t>
  </si>
  <si>
    <t>Miscellenous</t>
  </si>
  <si>
    <t>Start Up Loan(Long Term)</t>
  </si>
  <si>
    <t>Short Term Loan</t>
  </si>
  <si>
    <t>Finance Cost</t>
  </si>
  <si>
    <t>EBT</t>
  </si>
  <si>
    <t>Net Earning/Losses</t>
  </si>
  <si>
    <t>Supplies-Instructional</t>
  </si>
  <si>
    <t>Year 1F</t>
  </si>
  <si>
    <t>Year 2F</t>
  </si>
  <si>
    <t>Year 3F</t>
  </si>
  <si>
    <t>Year 4F</t>
  </si>
  <si>
    <t>Year 5F</t>
  </si>
  <si>
    <t>Consldt Stmt</t>
  </si>
  <si>
    <t>Income Statement(Modarate Case)</t>
  </si>
  <si>
    <t>Income Statement(Live Case)</t>
  </si>
  <si>
    <t>Income Statement(Best Case)</t>
  </si>
  <si>
    <t>Income Statement(Worst Case)</t>
  </si>
  <si>
    <t>5% increase in Tution Fee @ a modarate Student Increase of 5 par year</t>
  </si>
  <si>
    <t>7.5% increase in Tution Fee @ a modarate Student Increase of 10 par year</t>
  </si>
  <si>
    <t>2.5% increase in Tution Fee @ a modarate Student Increase of 3 par year</t>
  </si>
  <si>
    <t>Scenario</t>
  </si>
  <si>
    <t>Legal Fee</t>
  </si>
  <si>
    <t>Licences &amp; Service charge</t>
  </si>
  <si>
    <t>Consultancy fees</t>
  </si>
  <si>
    <t>Insurance</t>
  </si>
  <si>
    <t>Telephone &amp; Postage</t>
  </si>
  <si>
    <t>Computer Exp</t>
  </si>
  <si>
    <t>Cleaning Services &amp; Sanitation</t>
  </si>
  <si>
    <t>Subscription</t>
  </si>
  <si>
    <t>Laboratory consumables</t>
  </si>
  <si>
    <t>Electricity &amp; Water</t>
  </si>
  <si>
    <t>Supplies &amp;Legal Exp</t>
  </si>
  <si>
    <t>Supplies &amp; Legal Exp</t>
  </si>
  <si>
    <t>Balance Sheet</t>
  </si>
  <si>
    <t>Non-Current Assets</t>
  </si>
  <si>
    <t>Laboratory equipment and machines</t>
  </si>
  <si>
    <t xml:space="preserve">Computers and accessories </t>
  </si>
  <si>
    <t xml:space="preserve">Land and Buildings </t>
  </si>
  <si>
    <t>Furniture, Fixtures and Fittings</t>
  </si>
  <si>
    <t>Total Fixed Assets</t>
  </si>
  <si>
    <t>Current Assets</t>
  </si>
  <si>
    <t>Capital &amp; Liabiliteis</t>
  </si>
  <si>
    <t>Non-Current Liabiliteis</t>
  </si>
  <si>
    <t>Current Liabilities</t>
  </si>
  <si>
    <t>Retained Earnings</t>
  </si>
  <si>
    <t>Total Share Capital</t>
  </si>
  <si>
    <t>Total Non-Current Liabilities</t>
  </si>
  <si>
    <t>Total Current Liabilities</t>
  </si>
  <si>
    <t>Operating Cash Flow</t>
  </si>
  <si>
    <t>Net Earnings:Plus</t>
  </si>
  <si>
    <t>Depriciation &amp; Armotization</t>
  </si>
  <si>
    <t>Change In Woring Capital</t>
  </si>
  <si>
    <t>Cash From/Used In Operating Activities</t>
  </si>
  <si>
    <t>Investing Cash Flow</t>
  </si>
  <si>
    <t>Purchase of PPE</t>
  </si>
  <si>
    <t>Sale of PPE</t>
  </si>
  <si>
    <t>Cash From/Used In Investing Activities</t>
  </si>
  <si>
    <t>Financing Cash Flow</t>
  </si>
  <si>
    <t>Cash From/Used In Financing Activities</t>
  </si>
  <si>
    <t>Net Increase (Decrease) in Cash</t>
  </si>
  <si>
    <t>Opening Balance</t>
  </si>
  <si>
    <t>Closing Cash Balance</t>
  </si>
  <si>
    <t>Supporting Schedules</t>
  </si>
  <si>
    <t>Working Capital Schedule</t>
  </si>
  <si>
    <t>Acc Receivable</t>
  </si>
  <si>
    <t>Inventory</t>
  </si>
  <si>
    <t>Acc Payables</t>
  </si>
  <si>
    <t>Net Working Capital(WAC)</t>
  </si>
  <si>
    <t>Change in WAC</t>
  </si>
  <si>
    <t>Tax @ 30%</t>
  </si>
  <si>
    <t>Depriciation Shcedule</t>
  </si>
  <si>
    <t>PPP Opening Balance</t>
  </si>
  <si>
    <t>Plus Capex</t>
  </si>
  <si>
    <t>Disposal</t>
  </si>
  <si>
    <t>Less:Deprication</t>
  </si>
  <si>
    <t>PPE Closing</t>
  </si>
  <si>
    <t>Depriciation</t>
  </si>
  <si>
    <t>Cash &amp; Bank</t>
  </si>
  <si>
    <t>PPE Proceeds</t>
  </si>
  <si>
    <t>Total Capital &amp; Liabilities</t>
  </si>
  <si>
    <t>Total Current Asset</t>
  </si>
  <si>
    <t>Total Assets</t>
  </si>
  <si>
    <t>Prepared By:</t>
  </si>
  <si>
    <t>Cash Flow Statement</t>
  </si>
  <si>
    <t>EAT</t>
  </si>
  <si>
    <t>EBIT</t>
  </si>
  <si>
    <t>Model Prepared and Compiled By:</t>
  </si>
  <si>
    <t>Notes</t>
  </si>
  <si>
    <t>Strictly Confidential</t>
  </si>
  <si>
    <t>CPA JUMA ABDULRAHMAN BAKARI  (Founder of Brave Lions Brain Consultancy)</t>
  </si>
  <si>
    <r>
      <t>Emaill :</t>
    </r>
    <r>
      <rPr>
        <b/>
        <sz val="11"/>
        <color rgb="FF0070C0"/>
        <rFont val="Palatino Linotype"/>
        <family val="1"/>
      </rPr>
      <t>bravelionsbrainconsultancy@gmail.com / jumabakari753@gmail.com</t>
    </r>
  </si>
  <si>
    <t>Phone:</t>
  </si>
  <si>
    <r>
      <t>be used for other reasons</t>
    </r>
    <r>
      <rPr>
        <i/>
        <sz val="11"/>
        <color theme="1"/>
        <rFont val="Palatino Linotype"/>
        <family val="1"/>
      </rPr>
      <t xml:space="preserve"> </t>
    </r>
    <r>
      <rPr>
        <b/>
        <i/>
        <sz val="11"/>
        <color theme="1"/>
        <rFont val="Palatino Linotype"/>
        <family val="1"/>
      </rPr>
      <t>!!!.</t>
    </r>
  </si>
  <si>
    <t>All contents is a Copyright matiral of :</t>
  </si>
  <si>
    <t>Assumptions</t>
  </si>
  <si>
    <t>Tax Rate</t>
  </si>
  <si>
    <t>Disccount Rate</t>
  </si>
  <si>
    <t>Transaction Date</t>
  </si>
  <si>
    <t>Fiscal Year End</t>
  </si>
  <si>
    <t>Current Share Price</t>
  </si>
  <si>
    <t>Shares Outstanding</t>
  </si>
  <si>
    <t>WACC</t>
  </si>
  <si>
    <t>Discounted Cash Flow</t>
  </si>
  <si>
    <t>Entry</t>
  </si>
  <si>
    <t>Exit</t>
  </si>
  <si>
    <t>Date</t>
  </si>
  <si>
    <t>Time Period</t>
  </si>
  <si>
    <t>Year Fraction</t>
  </si>
  <si>
    <t>Interest</t>
  </si>
  <si>
    <t>Less: tax @ 30%</t>
  </si>
  <si>
    <t>Plus:Depriciation</t>
  </si>
  <si>
    <t>Less Capex</t>
  </si>
  <si>
    <t>Unleverd FCF</t>
  </si>
  <si>
    <t>(Entry)Exit</t>
  </si>
  <si>
    <t>Net FCF</t>
  </si>
  <si>
    <t>Less CPanges in NWC</t>
  </si>
  <si>
    <t>Terminal Value</t>
  </si>
  <si>
    <t>Perpetueal Growth Rate</t>
  </si>
  <si>
    <t>Charts And Graphs</t>
  </si>
  <si>
    <t>Perpetueal Growth</t>
  </si>
  <si>
    <t>Source</t>
  </si>
  <si>
    <t>Ordinary Shares(10 Ksh par share)</t>
  </si>
  <si>
    <t>Amount</t>
  </si>
  <si>
    <t>Propotion</t>
  </si>
  <si>
    <t>Cost</t>
  </si>
  <si>
    <t>Analysis</t>
  </si>
  <si>
    <t>NPV</t>
  </si>
  <si>
    <t>IRR</t>
  </si>
  <si>
    <t xml:space="preserve"> </t>
  </si>
  <si>
    <t>WACC -g</t>
  </si>
  <si>
    <t xml:space="preserve"> If the NPV+ is positieve then the project is viable</t>
  </si>
  <si>
    <t>DCF Model</t>
  </si>
  <si>
    <t>Rate</t>
  </si>
  <si>
    <t>Loan Amount</t>
  </si>
  <si>
    <t>nper</t>
  </si>
  <si>
    <t>Installment</t>
  </si>
  <si>
    <t>PVIFA17%/10</t>
  </si>
  <si>
    <t>Period</t>
  </si>
  <si>
    <t>Loan Repayment</t>
  </si>
  <si>
    <t>Ordinary Share</t>
  </si>
  <si>
    <t>Capital Injection</t>
  </si>
  <si>
    <t>Loan Recived</t>
  </si>
  <si>
    <t>Share Capital(10Ksh per share 10000)</t>
  </si>
  <si>
    <t>Acc Recivable</t>
  </si>
  <si>
    <t>Acc Payable</t>
  </si>
  <si>
    <t>17% Long Term Loan</t>
  </si>
  <si>
    <t xml:space="preserve">Share Capital </t>
  </si>
  <si>
    <t>Acc Receivable (4% - 10% in Perpetuity)</t>
  </si>
  <si>
    <t>Acc Payables (30% - 20% in Perpetuity)</t>
  </si>
  <si>
    <t>Extra Short Finance(Eg.BOD)</t>
  </si>
  <si>
    <t>Software,Webhosting &amp; Installation</t>
  </si>
  <si>
    <t>Capital Allowance Rates</t>
  </si>
  <si>
    <t>School Buses</t>
  </si>
  <si>
    <t>Land &amp; Buildings</t>
  </si>
  <si>
    <t>Bus Price</t>
  </si>
  <si>
    <t>Senario 1 &amp; 3(3 buses)</t>
  </si>
  <si>
    <t>2(4 buses)</t>
  </si>
  <si>
    <t>If the IRR is equal to or more than WACC/Enteprise Cost of Capital then the Project is Vialble</t>
  </si>
  <si>
    <t>Sensitivity Analysis</t>
  </si>
  <si>
    <t>Perpetuity Growth</t>
  </si>
  <si>
    <t>Revenue Growth</t>
  </si>
  <si>
    <t>Intrinsic Value</t>
  </si>
  <si>
    <t>Enterprice Value</t>
  </si>
  <si>
    <t>Cash</t>
  </si>
  <si>
    <t>Debt</t>
  </si>
  <si>
    <t>Share Price at year 5</t>
  </si>
  <si>
    <t>Finanacial Statement Forecasting Sensitivity  &amp; Scenario Analysis</t>
  </si>
  <si>
    <t>Based on intrinsic Value of the firm at the 5th Year</t>
  </si>
  <si>
    <t>Tax Rate @ 30%</t>
  </si>
  <si>
    <t>Number of Buses</t>
  </si>
  <si>
    <t>Discouunted Cashflow Method(Free Cashflow to the firm Model)</t>
  </si>
  <si>
    <t>Share Price Sensitivity Analysis</t>
  </si>
  <si>
    <t xml:space="preserve">Total Students </t>
  </si>
  <si>
    <t>Year</t>
  </si>
  <si>
    <t>Buses Needed</t>
  </si>
  <si>
    <t>Short Term Obligation(17%)</t>
  </si>
  <si>
    <t>Long Term Obligation 17%</t>
  </si>
  <si>
    <t>© CPA Abdulrahman Juma Bakari</t>
  </si>
  <si>
    <t>© CPA Abdulrahman Juma Bakari:(Founder of Brave Lions Brain Consultancy)</t>
  </si>
  <si>
    <t>©Financial Model With DCF Model &amp; IRR</t>
  </si>
  <si>
    <t>This is a discounted financial model which includes 3 Finanacial Statement Forecasting ,Sensitivity,Scenario Analysis,DCF Model &amp;  Internal Rate of Return(IRR)</t>
  </si>
  <si>
    <t>Ratio Analysis</t>
  </si>
  <si>
    <t>Profitability Ratios</t>
  </si>
  <si>
    <t>Return on Capital Employed(R.O.CE)</t>
  </si>
  <si>
    <t>Return on Investment(R.O.I)</t>
  </si>
  <si>
    <t>Profit Margine</t>
  </si>
  <si>
    <t>Taxation to Sales</t>
  </si>
  <si>
    <t>Liquidity Ratio</t>
  </si>
  <si>
    <t>Current Ratio</t>
  </si>
  <si>
    <t>Quick Ratio</t>
  </si>
  <si>
    <t>Activity/Efficiency Ratio</t>
  </si>
  <si>
    <t>Days Of  the Year</t>
  </si>
  <si>
    <t>Debtor Collection Period</t>
  </si>
  <si>
    <t>Creditor Payment Period</t>
  </si>
  <si>
    <t>Leverage Ratio</t>
  </si>
  <si>
    <t>Debt to Equity Ratio</t>
  </si>
  <si>
    <t>Debt to Capital Employed</t>
  </si>
  <si>
    <t>Equity Ratio</t>
  </si>
  <si>
    <t>Interest Coverage</t>
  </si>
  <si>
    <t>Shareholders Ratio</t>
  </si>
  <si>
    <t>Earning Per share</t>
  </si>
  <si>
    <t>Dividend Payout Ratio</t>
  </si>
  <si>
    <t xml:space="preserve">This Model is prepared for Planing Purpose of the said Company…................................................................................. and focused on the company dynamics thus cannot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</si>
</sst>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3" formatCode="_(* #,##0.00_);_(* \(#,##0.00\);_(* &quot;-&quot;??_);_(@_)"/>
    <numFmt numFmtId="164" formatCode="_-* #,##0_-;\-* #,##0_-;_-* &quot;-&quot;??_-;_-@_-"/>
    <numFmt numFmtId="165" formatCode="0.000"/>
    <numFmt numFmtId="166" formatCode="#,###;\(#,###\)"/>
    <numFmt numFmtId="167" formatCode="#&quot;X&quot;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Palatino Linotype"/>
      <family val="1"/>
    </font>
    <font>
      <sz val="11"/>
      <color theme="1"/>
      <name val="Palatino Linotype"/>
      <family val="1"/>
    </font>
    <font>
      <b/>
      <sz val="11"/>
      <color theme="1"/>
      <name val="Palatino Linotype"/>
      <family val="1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Palatino Linotype"/>
      <family val="1"/>
    </font>
    <font>
      <sz val="11"/>
      <color theme="0"/>
      <name val="Palatino Linotype"/>
      <family val="1"/>
    </font>
    <font>
      <b/>
      <u/>
      <sz val="11"/>
      <color theme="1"/>
      <name val="Palatino Linotype"/>
      <family val="1"/>
    </font>
    <font>
      <b/>
      <sz val="11"/>
      <color rgb="FFFF0000"/>
      <name val="Calibri"/>
      <family val="2"/>
      <scheme val="minor"/>
    </font>
    <font>
      <sz val="11"/>
      <color theme="4" tint="-0.249977111117893"/>
      <name val="Palatino Linotype"/>
      <family val="1"/>
    </font>
    <font>
      <b/>
      <sz val="11"/>
      <color theme="4" tint="-0.249977111117893"/>
      <name val="Palatino Linotype"/>
      <family val="1"/>
    </font>
    <font>
      <b/>
      <u/>
      <sz val="11"/>
      <color theme="4" tint="-0.249977111117893"/>
      <name val="Palatino Linotype"/>
      <family val="1"/>
    </font>
    <font>
      <sz val="11"/>
      <name val="Palatino Linotype"/>
      <family val="1"/>
    </font>
    <font>
      <b/>
      <i/>
      <sz val="11"/>
      <color theme="1"/>
      <name val="Palatino Linotype"/>
      <family val="1"/>
    </font>
    <font>
      <sz val="8"/>
      <name val="Calibri"/>
      <family val="2"/>
      <scheme val="minor"/>
    </font>
    <font>
      <b/>
      <sz val="11"/>
      <name val="Palatino Linotype"/>
      <family val="1"/>
    </font>
    <font>
      <b/>
      <u/>
      <sz val="11"/>
      <name val="Palatino Linotype"/>
      <family val="1"/>
    </font>
    <font>
      <sz val="12"/>
      <color theme="1"/>
      <name val="Palatino Linotype"/>
      <family val="1"/>
    </font>
    <font>
      <sz val="12"/>
      <name val="Palatino Linotype"/>
      <family val="1"/>
    </font>
    <font>
      <b/>
      <sz val="12"/>
      <name val="Palatino Linotype"/>
      <family val="1"/>
    </font>
    <font>
      <b/>
      <sz val="12"/>
      <color theme="0"/>
      <name val="Palatino Linotype"/>
      <family val="1"/>
    </font>
    <font>
      <sz val="12"/>
      <color theme="4" tint="-0.249977111117893"/>
      <name val="Palatino Linotype"/>
      <family val="1"/>
    </font>
    <font>
      <b/>
      <sz val="40"/>
      <color theme="4" tint="-0.499984740745262"/>
      <name val="Palatino Linotype"/>
      <family val="1"/>
    </font>
    <font>
      <b/>
      <sz val="11"/>
      <color rgb="FF0070C0"/>
      <name val="Palatino Linotype"/>
      <family val="1"/>
    </font>
    <font>
      <i/>
      <sz val="11"/>
      <color theme="1"/>
      <name val="Palatino Linotype"/>
      <family val="1"/>
    </font>
    <font>
      <i/>
      <sz val="11"/>
      <color theme="1"/>
      <name val="Calibri"/>
      <family val="2"/>
      <scheme val="minor"/>
    </font>
    <font>
      <b/>
      <i/>
      <sz val="13"/>
      <name val="Palatino Linotype"/>
      <family val="1"/>
    </font>
    <font>
      <sz val="12"/>
      <color theme="0"/>
      <name val="Palatino Linotype"/>
      <family val="1"/>
    </font>
    <font>
      <b/>
      <sz val="12"/>
      <color theme="4" tint="-0.499984740745262"/>
      <name val="Palatino Linotype"/>
      <family val="1"/>
    </font>
    <font>
      <b/>
      <u/>
      <sz val="11"/>
      <color theme="8" tint="-0.249977111117893"/>
      <name val="Palatino Linotype"/>
      <family val="1"/>
    </font>
    <font>
      <sz val="11"/>
      <color theme="8" tint="-0.249977111117893"/>
      <name val="Palatino Linotype"/>
      <family val="1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5">
    <xf numFmtId="0" fontId="0" fillId="0" borderId="0" xfId="0"/>
    <xf numFmtId="0" fontId="2" fillId="3" borderId="0" xfId="0" applyFont="1" applyFill="1"/>
    <xf numFmtId="0" fontId="3" fillId="3" borderId="0" xfId="0" applyFont="1" applyFill="1"/>
    <xf numFmtId="0" fontId="3" fillId="0" borderId="0" xfId="0" applyFont="1"/>
    <xf numFmtId="0" fontId="4" fillId="0" borderId="0" xfId="0" applyFont="1"/>
    <xf numFmtId="9" fontId="3" fillId="0" borderId="0" xfId="2" applyFont="1"/>
    <xf numFmtId="164" fontId="3" fillId="0" borderId="0" xfId="1" applyNumberFormat="1" applyFont="1"/>
    <xf numFmtId="0" fontId="2" fillId="2" borderId="1" xfId="0" applyFont="1" applyFill="1" applyBorder="1" applyAlignment="1">
      <alignment horizontal="center" vertical="center"/>
    </xf>
    <xf numFmtId="0" fontId="9" fillId="0" borderId="0" xfId="0" applyFont="1"/>
    <xf numFmtId="0" fontId="3" fillId="0" borderId="0" xfId="2" applyNumberFormat="1" applyFont="1"/>
    <xf numFmtId="0" fontId="4" fillId="0" borderId="0" xfId="0" applyFont="1" applyAlignment="1">
      <alignment vertical="center"/>
    </xf>
    <xf numFmtId="0" fontId="2" fillId="0" borderId="0" xfId="0" applyFont="1"/>
    <xf numFmtId="0" fontId="2" fillId="2" borderId="5" xfId="0" applyFont="1" applyFill="1" applyBorder="1" applyAlignment="1">
      <alignment horizontal="center"/>
    </xf>
    <xf numFmtId="0" fontId="4" fillId="0" borderId="6" xfId="0" applyFont="1" applyBorder="1"/>
    <xf numFmtId="0" fontId="3" fillId="0" borderId="0" xfId="0" applyFont="1" applyAlignment="1">
      <alignment horizontal="left" indent="2"/>
    </xf>
    <xf numFmtId="0" fontId="3" fillId="0" borderId="0" xfId="0" applyFont="1" applyAlignment="1">
      <alignment horizontal="left" indent="6"/>
    </xf>
    <xf numFmtId="0" fontId="4" fillId="0" borderId="2" xfId="0" applyFont="1" applyBorder="1"/>
    <xf numFmtId="0" fontId="2" fillId="2" borderId="5" xfId="0" applyFont="1" applyFill="1" applyBorder="1"/>
    <xf numFmtId="0" fontId="11" fillId="0" borderId="0" xfId="0" applyFont="1"/>
    <xf numFmtId="0" fontId="3" fillId="4" borderId="0" xfId="0" applyFont="1" applyFill="1"/>
    <xf numFmtId="0" fontId="3" fillId="5" borderId="0" xfId="0" applyFont="1" applyFill="1"/>
    <xf numFmtId="0" fontId="12" fillId="0" borderId="6" xfId="0" applyFont="1" applyBorder="1"/>
    <xf numFmtId="0" fontId="12" fillId="0" borderId="0" xfId="0" applyFont="1"/>
    <xf numFmtId="0" fontId="11" fillId="0" borderId="0" xfId="0" applyFont="1" applyAlignment="1">
      <alignment horizontal="left" indent="2"/>
    </xf>
    <xf numFmtId="0" fontId="11" fillId="0" borderId="0" xfId="0" applyFont="1" applyAlignment="1">
      <alignment horizontal="left" indent="6"/>
    </xf>
    <xf numFmtId="0" fontId="13" fillId="0" borderId="0" xfId="0" applyFont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164" fontId="4" fillId="0" borderId="0" xfId="0" applyNumberFormat="1" applyFont="1" applyAlignment="1">
      <alignment vertical="center"/>
    </xf>
    <xf numFmtId="43" fontId="4" fillId="0" borderId="0" xfId="0" applyNumberFormat="1" applyFont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4" fillId="0" borderId="9" xfId="0" applyFont="1" applyBorder="1"/>
    <xf numFmtId="166" fontId="4" fillId="0" borderId="2" xfId="0" applyNumberFormat="1" applyFont="1" applyBorder="1" applyAlignment="1">
      <alignment horizontal="center" vertical="center"/>
    </xf>
    <xf numFmtId="164" fontId="0" fillId="0" borderId="0" xfId="0" applyNumberFormat="1"/>
    <xf numFmtId="164" fontId="0" fillId="0" borderId="0" xfId="1" applyNumberFormat="1" applyFont="1"/>
    <xf numFmtId="164" fontId="5" fillId="0" borderId="0" xfId="0" applyNumberFormat="1" applyFont="1"/>
    <xf numFmtId="43" fontId="3" fillId="0" borderId="0" xfId="1" applyFont="1"/>
    <xf numFmtId="43" fontId="11" fillId="0" borderId="0" xfId="1" applyFont="1"/>
    <xf numFmtId="0" fontId="14" fillId="0" borderId="0" xfId="0" applyFont="1"/>
    <xf numFmtId="0" fontId="17" fillId="0" borderId="0" xfId="0" applyFont="1"/>
    <xf numFmtId="0" fontId="18" fillId="0" borderId="0" xfId="0" applyFont="1"/>
    <xf numFmtId="0" fontId="17" fillId="0" borderId="9" xfId="0" applyFont="1" applyBorder="1"/>
    <xf numFmtId="164" fontId="14" fillId="0" borderId="0" xfId="1" applyNumberFormat="1" applyFont="1"/>
    <xf numFmtId="164" fontId="17" fillId="0" borderId="9" xfId="1" applyNumberFormat="1" applyFont="1" applyBorder="1"/>
    <xf numFmtId="164" fontId="17" fillId="0" borderId="2" xfId="1" applyNumberFormat="1" applyFont="1" applyBorder="1"/>
    <xf numFmtId="0" fontId="3" fillId="0" borderId="9" xfId="0" applyFont="1" applyBorder="1"/>
    <xf numFmtId="164" fontId="14" fillId="0" borderId="9" xfId="1" applyNumberFormat="1" applyFont="1" applyBorder="1"/>
    <xf numFmtId="0" fontId="20" fillId="0" borderId="0" xfId="0" applyFont="1"/>
    <xf numFmtId="0" fontId="21" fillId="0" borderId="0" xfId="0" applyFont="1"/>
    <xf numFmtId="166" fontId="3" fillId="0" borderId="6" xfId="0" applyNumberFormat="1" applyFont="1" applyBorder="1" applyAlignment="1">
      <alignment horizontal="center" vertical="center"/>
    </xf>
    <xf numFmtId="164" fontId="14" fillId="0" borderId="0" xfId="1" applyNumberFormat="1" applyFont="1" applyBorder="1"/>
    <xf numFmtId="0" fontId="20" fillId="0" borderId="0" xfId="0" applyFont="1" applyAlignment="1">
      <alignment horizontal="right"/>
    </xf>
    <xf numFmtId="9" fontId="3" fillId="0" borderId="0" xfId="0" applyNumberFormat="1" applyFont="1"/>
    <xf numFmtId="0" fontId="17" fillId="0" borderId="11" xfId="0" applyFont="1" applyBorder="1"/>
    <xf numFmtId="164" fontId="17" fillId="0" borderId="11" xfId="1" applyNumberFormat="1" applyFont="1" applyBorder="1"/>
    <xf numFmtId="164" fontId="3" fillId="0" borderId="0" xfId="0" applyNumberFormat="1" applyFont="1"/>
    <xf numFmtId="0" fontId="8" fillId="2" borderId="13" xfId="0" applyFont="1" applyFill="1" applyBorder="1"/>
    <xf numFmtId="0" fontId="22" fillId="2" borderId="7" xfId="0" applyFont="1" applyFill="1" applyBorder="1"/>
    <xf numFmtId="166" fontId="11" fillId="0" borderId="6" xfId="0" applyNumberFormat="1" applyFont="1" applyBorder="1" applyAlignment="1">
      <alignment horizontal="center" vertical="center"/>
    </xf>
    <xf numFmtId="166" fontId="11" fillId="0" borderId="0" xfId="1" applyNumberFormat="1" applyFont="1"/>
    <xf numFmtId="166" fontId="11" fillId="0" borderId="0" xfId="0" applyNumberFormat="1" applyFont="1"/>
    <xf numFmtId="166" fontId="11" fillId="0" borderId="2" xfId="1" applyNumberFormat="1" applyFont="1" applyBorder="1"/>
    <xf numFmtId="166" fontId="11" fillId="0" borderId="0" xfId="2" applyNumberFormat="1" applyFont="1"/>
    <xf numFmtId="166" fontId="11" fillId="0" borderId="2" xfId="0" applyNumberFormat="1" applyFont="1" applyBorder="1"/>
    <xf numFmtId="166" fontId="3" fillId="5" borderId="0" xfId="1" applyNumberFormat="1" applyFont="1" applyFill="1"/>
    <xf numFmtId="166" fontId="3" fillId="5" borderId="0" xfId="0" applyNumberFormat="1" applyFont="1" applyFill="1"/>
    <xf numFmtId="166" fontId="3" fillId="0" borderId="0" xfId="2" applyNumberFormat="1" applyFont="1"/>
    <xf numFmtId="166" fontId="3" fillId="0" borderId="0" xfId="0" applyNumberFormat="1" applyFont="1"/>
    <xf numFmtId="166" fontId="3" fillId="4" borderId="0" xfId="1" applyNumberFormat="1" applyFont="1" applyFill="1"/>
    <xf numFmtId="166" fontId="3" fillId="4" borderId="0" xfId="0" applyNumberFormat="1" applyFont="1" applyFill="1"/>
    <xf numFmtId="166" fontId="3" fillId="0" borderId="0" xfId="1" applyNumberFormat="1" applyFont="1"/>
    <xf numFmtId="166" fontId="3" fillId="0" borderId="2" xfId="1" applyNumberFormat="1" applyFont="1" applyBorder="1"/>
    <xf numFmtId="166" fontId="3" fillId="0" borderId="2" xfId="0" applyNumberFormat="1" applyFont="1" applyBorder="1"/>
    <xf numFmtId="166" fontId="3" fillId="3" borderId="0" xfId="0" applyNumberFormat="1" applyFont="1" applyFill="1"/>
    <xf numFmtId="166" fontId="3" fillId="3" borderId="0" xfId="1" applyNumberFormat="1" applyFont="1" applyFill="1"/>
    <xf numFmtId="166" fontId="4" fillId="0" borderId="0" xfId="0" applyNumberFormat="1" applyFont="1" applyAlignment="1">
      <alignment horizontal="center" vertical="center"/>
    </xf>
    <xf numFmtId="166" fontId="3" fillId="0" borderId="0" xfId="1" applyNumberFormat="1" applyFont="1" applyFill="1" applyAlignment="1">
      <alignment vertical="center"/>
    </xf>
    <xf numFmtId="166" fontId="4" fillId="0" borderId="0" xfId="0" applyNumberFormat="1" applyFont="1" applyAlignment="1">
      <alignment vertical="center"/>
    </xf>
    <xf numFmtId="166" fontId="3" fillId="0" borderId="0" xfId="1" applyNumberFormat="1" applyFont="1" applyAlignment="1">
      <alignment vertical="center"/>
    </xf>
    <xf numFmtId="166" fontId="11" fillId="0" borderId="0" xfId="1" applyNumberFormat="1" applyFont="1" applyAlignment="1">
      <alignment vertical="center"/>
    </xf>
    <xf numFmtId="166" fontId="4" fillId="0" borderId="9" xfId="1" applyNumberFormat="1" applyFont="1" applyBorder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166" fontId="4" fillId="0" borderId="9" xfId="0" applyNumberFormat="1" applyFont="1" applyBorder="1"/>
    <xf numFmtId="166" fontId="4" fillId="0" borderId="9" xfId="0" applyNumberFormat="1" applyFont="1" applyBorder="1" applyAlignment="1">
      <alignment horizontal="center" vertical="center"/>
    </xf>
    <xf numFmtId="166" fontId="4" fillId="0" borderId="2" xfId="0" applyNumberFormat="1" applyFont="1" applyBorder="1"/>
    <xf numFmtId="166" fontId="14" fillId="0" borderId="0" xfId="1" applyNumberFormat="1" applyFont="1"/>
    <xf numFmtId="166" fontId="17" fillId="0" borderId="9" xfId="1" applyNumberFormat="1" applyFont="1" applyBorder="1"/>
    <xf numFmtId="166" fontId="17" fillId="0" borderId="11" xfId="1" applyNumberFormat="1" applyFont="1" applyBorder="1"/>
    <xf numFmtId="166" fontId="14" fillId="0" borderId="0" xfId="1" applyNumberFormat="1" applyFont="1" applyBorder="1"/>
    <xf numFmtId="166" fontId="17" fillId="0" borderId="10" xfId="1" applyNumberFormat="1" applyFont="1" applyBorder="1"/>
    <xf numFmtId="166" fontId="19" fillId="0" borderId="0" xfId="0" applyNumberFormat="1" applyFont="1"/>
    <xf numFmtId="166" fontId="23" fillId="0" borderId="0" xfId="0" applyNumberFormat="1" applyFont="1"/>
    <xf numFmtId="166" fontId="14" fillId="0" borderId="9" xfId="1" applyNumberFormat="1" applyFont="1" applyBorder="1"/>
    <xf numFmtId="166" fontId="17" fillId="0" borderId="2" xfId="1" applyNumberFormat="1" applyFont="1" applyBorder="1"/>
    <xf numFmtId="166" fontId="4" fillId="0" borderId="9" xfId="1" applyNumberFormat="1" applyFont="1" applyBorder="1"/>
    <xf numFmtId="166" fontId="4" fillId="0" borderId="0" xfId="0" applyNumberFormat="1" applyFont="1"/>
    <xf numFmtId="0" fontId="4" fillId="0" borderId="14" xfId="0" applyFont="1" applyBorder="1"/>
    <xf numFmtId="166" fontId="4" fillId="0" borderId="14" xfId="0" applyNumberFormat="1" applyFont="1" applyBorder="1"/>
    <xf numFmtId="166" fontId="4" fillId="0" borderId="14" xfId="0" applyNumberFormat="1" applyFont="1" applyBorder="1" applyAlignment="1">
      <alignment horizontal="center" vertical="center"/>
    </xf>
    <xf numFmtId="166" fontId="3" fillId="0" borderId="9" xfId="0" applyNumberFormat="1" applyFont="1" applyBorder="1"/>
    <xf numFmtId="166" fontId="3" fillId="0" borderId="9" xfId="0" applyNumberFormat="1" applyFont="1" applyBorder="1" applyAlignment="1">
      <alignment horizontal="center" vertical="center"/>
    </xf>
    <xf numFmtId="166" fontId="11" fillId="0" borderId="9" xfId="0" applyNumberFormat="1" applyFont="1" applyBorder="1" applyAlignment="1">
      <alignment horizontal="center" vertical="center"/>
    </xf>
    <xf numFmtId="0" fontId="3" fillId="7" borderId="0" xfId="0" applyFont="1" applyFill="1"/>
    <xf numFmtId="0" fontId="4" fillId="7" borderId="0" xfId="0" applyFont="1" applyFill="1"/>
    <xf numFmtId="0" fontId="4" fillId="7" borderId="11" xfId="0" applyFont="1" applyFill="1" applyBorder="1"/>
    <xf numFmtId="0" fontId="3" fillId="7" borderId="6" xfId="0" applyFont="1" applyFill="1" applyBorder="1"/>
    <xf numFmtId="0" fontId="3" fillId="7" borderId="0" xfId="0" applyFont="1" applyFill="1" applyProtection="1">
      <protection locked="0"/>
    </xf>
    <xf numFmtId="0" fontId="4" fillId="7" borderId="6" xfId="0" applyFont="1" applyFill="1" applyBorder="1"/>
    <xf numFmtId="0" fontId="17" fillId="0" borderId="6" xfId="0" applyFont="1" applyBorder="1"/>
    <xf numFmtId="9" fontId="14" fillId="0" borderId="0" xfId="2" applyFont="1"/>
    <xf numFmtId="0" fontId="17" fillId="0" borderId="0" xfId="1" applyNumberFormat="1" applyFont="1"/>
    <xf numFmtId="164" fontId="4" fillId="0" borderId="0" xfId="1" applyNumberFormat="1" applyFont="1"/>
    <xf numFmtId="164" fontId="17" fillId="0" borderId="6" xfId="1" applyNumberFormat="1" applyFont="1" applyBorder="1"/>
    <xf numFmtId="0" fontId="17" fillId="0" borderId="6" xfId="1" applyNumberFormat="1" applyFont="1" applyBorder="1"/>
    <xf numFmtId="164" fontId="4" fillId="0" borderId="6" xfId="1" applyNumberFormat="1" applyFont="1" applyBorder="1"/>
    <xf numFmtId="14" fontId="14" fillId="0" borderId="0" xfId="1" applyNumberFormat="1" applyFont="1"/>
    <xf numFmtId="166" fontId="14" fillId="0" borderId="6" xfId="1" applyNumberFormat="1" applyFont="1" applyBorder="1"/>
    <xf numFmtId="166" fontId="3" fillId="0" borderId="0" xfId="1" applyNumberFormat="1" applyFont="1" applyBorder="1"/>
    <xf numFmtId="166" fontId="17" fillId="0" borderId="0" xfId="1" applyNumberFormat="1" applyFont="1"/>
    <xf numFmtId="166" fontId="4" fillId="0" borderId="0" xfId="1" applyNumberFormat="1" applyFont="1"/>
    <xf numFmtId="164" fontId="3" fillId="0" borderId="0" xfId="1" applyNumberFormat="1" applyFont="1" applyAlignment="1">
      <alignment horizontal="left" vertical="top"/>
    </xf>
    <xf numFmtId="0" fontId="17" fillId="0" borderId="3" xfId="0" applyFont="1" applyBorder="1" applyAlignment="1">
      <alignment horizontal="center"/>
    </xf>
    <xf numFmtId="164" fontId="17" fillId="0" borderId="3" xfId="1" applyNumberFormat="1" applyFont="1" applyBorder="1" applyAlignment="1">
      <alignment horizontal="center"/>
    </xf>
    <xf numFmtId="164" fontId="14" fillId="0" borderId="3" xfId="1" applyNumberFormat="1" applyFont="1" applyBorder="1"/>
    <xf numFmtId="0" fontId="17" fillId="0" borderId="3" xfId="0" applyFont="1" applyBorder="1"/>
    <xf numFmtId="164" fontId="17" fillId="0" borderId="15" xfId="1" applyNumberFormat="1" applyFont="1" applyBorder="1"/>
    <xf numFmtId="43" fontId="14" fillId="0" borderId="3" xfId="1" applyFont="1" applyBorder="1"/>
    <xf numFmtId="164" fontId="17" fillId="0" borderId="0" xfId="1" applyNumberFormat="1" applyFont="1" applyBorder="1"/>
    <xf numFmtId="43" fontId="17" fillId="0" borderId="15" xfId="1" applyFont="1" applyBorder="1"/>
    <xf numFmtId="9" fontId="17" fillId="0" borderId="0" xfId="2" applyFont="1" applyBorder="1"/>
    <xf numFmtId="0" fontId="17" fillId="0" borderId="6" xfId="0" applyFont="1" applyBorder="1" applyAlignment="1">
      <alignment horizontal="center" vertical="center"/>
    </xf>
    <xf numFmtId="164" fontId="4" fillId="0" borderId="2" xfId="1" applyNumberFormat="1" applyFont="1" applyBorder="1"/>
    <xf numFmtId="164" fontId="3" fillId="0" borderId="0" xfId="1" applyNumberFormat="1" applyFont="1" applyBorder="1"/>
    <xf numFmtId="9" fontId="17" fillId="8" borderId="3" xfId="2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0" fillId="0" borderId="0" xfId="0" applyFont="1" applyProtection="1">
      <protection locked="0"/>
    </xf>
    <xf numFmtId="0" fontId="3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164" fontId="0" fillId="0" borderId="3" xfId="1" applyNumberFormat="1" applyFont="1" applyBorder="1" applyProtection="1">
      <protection locked="0"/>
    </xf>
    <xf numFmtId="0" fontId="5" fillId="0" borderId="3" xfId="0" applyFont="1" applyBorder="1" applyProtection="1">
      <protection locked="0"/>
    </xf>
    <xf numFmtId="164" fontId="5" fillId="0" borderId="3" xfId="1" applyNumberFormat="1" applyFont="1" applyBorder="1" applyProtection="1"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164" fontId="5" fillId="0" borderId="3" xfId="0" applyNumberFormat="1" applyFont="1" applyBorder="1" applyProtection="1">
      <protection locked="0"/>
    </xf>
    <xf numFmtId="165" fontId="0" fillId="0" borderId="0" xfId="0" applyNumberFormat="1" applyProtection="1">
      <protection locked="0"/>
    </xf>
    <xf numFmtId="1" fontId="0" fillId="0" borderId="3" xfId="0" quotePrefix="1" applyNumberFormat="1" applyBorder="1" applyProtection="1">
      <protection locked="0"/>
    </xf>
    <xf numFmtId="1" fontId="0" fillId="0" borderId="3" xfId="0" applyNumberFormat="1" applyBorder="1" applyProtection="1">
      <protection locked="0"/>
    </xf>
    <xf numFmtId="2" fontId="0" fillId="0" borderId="0" xfId="0" applyNumberFormat="1" applyProtection="1">
      <protection locked="0"/>
    </xf>
    <xf numFmtId="43" fontId="5" fillId="0" borderId="4" xfId="0" applyNumberFormat="1" applyFont="1" applyBorder="1" applyProtection="1">
      <protection locked="0"/>
    </xf>
    <xf numFmtId="164" fontId="0" fillId="0" borderId="0" xfId="0" applyNumberFormat="1" applyProtection="1">
      <protection locked="0"/>
    </xf>
    <xf numFmtId="164" fontId="0" fillId="0" borderId="3" xfId="0" applyNumberFormat="1" applyBorder="1" applyProtection="1">
      <protection locked="0"/>
    </xf>
    <xf numFmtId="1" fontId="11" fillId="0" borderId="0" xfId="0" applyNumberFormat="1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164" fontId="11" fillId="0" borderId="0" xfId="0" applyNumberFormat="1" applyFont="1"/>
    <xf numFmtId="164" fontId="11" fillId="0" borderId="0" xfId="1" applyNumberFormat="1" applyFont="1"/>
    <xf numFmtId="9" fontId="17" fillId="9" borderId="3" xfId="2" applyFont="1" applyFill="1" applyBorder="1"/>
    <xf numFmtId="0" fontId="20" fillId="0" borderId="0" xfId="0" applyFont="1" applyAlignment="1">
      <alignment horizontal="left"/>
    </xf>
    <xf numFmtId="0" fontId="27" fillId="0" borderId="3" xfId="0" applyFont="1" applyBorder="1" applyProtection="1">
      <protection locked="0"/>
    </xf>
    <xf numFmtId="164" fontId="27" fillId="0" borderId="3" xfId="1" applyNumberFormat="1" applyFont="1" applyBorder="1" applyProtection="1">
      <protection locked="0"/>
    </xf>
    <xf numFmtId="0" fontId="6" fillId="6" borderId="3" xfId="0" applyFont="1" applyFill="1" applyBorder="1" applyProtection="1">
      <protection locked="0"/>
    </xf>
    <xf numFmtId="0" fontId="6" fillId="6" borderId="3" xfId="0" applyFont="1" applyFill="1" applyBorder="1" applyAlignment="1" applyProtection="1">
      <alignment horizontal="center" vertical="center"/>
      <protection locked="0"/>
    </xf>
    <xf numFmtId="164" fontId="6" fillId="0" borderId="3" xfId="0" applyNumberFormat="1" applyFont="1" applyBorder="1" applyProtection="1">
      <protection locked="0"/>
    </xf>
    <xf numFmtId="3" fontId="0" fillId="0" borderId="3" xfId="0" applyNumberFormat="1" applyBorder="1" applyProtection="1">
      <protection locked="0"/>
    </xf>
    <xf numFmtId="0" fontId="6" fillId="6" borderId="3" xfId="0" applyFont="1" applyFill="1" applyBorder="1" applyAlignment="1" applyProtection="1">
      <alignment horizontal="left"/>
      <protection locked="0"/>
    </xf>
    <xf numFmtId="166" fontId="1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/>
    </xf>
    <xf numFmtId="164" fontId="3" fillId="2" borderId="0" xfId="1" applyNumberFormat="1" applyFont="1" applyFill="1"/>
    <xf numFmtId="0" fontId="2" fillId="2" borderId="0" xfId="0" applyFont="1" applyFill="1"/>
    <xf numFmtId="166" fontId="14" fillId="0" borderId="0" xfId="2" applyNumberFormat="1" applyFont="1"/>
    <xf numFmtId="9" fontId="4" fillId="0" borderId="17" xfId="2" applyFont="1" applyBorder="1"/>
    <xf numFmtId="0" fontId="4" fillId="0" borderId="16" xfId="2" applyNumberFormat="1" applyFont="1" applyBorder="1" applyAlignment="1">
      <alignment horizontal="center" vertical="center"/>
    </xf>
    <xf numFmtId="0" fontId="17" fillId="8" borderId="3" xfId="0" applyFont="1" applyFill="1" applyBorder="1" applyAlignment="1">
      <alignment horizontal="left" vertical="top"/>
    </xf>
    <xf numFmtId="166" fontId="17" fillId="0" borderId="3" xfId="1" applyNumberFormat="1" applyFont="1" applyFill="1" applyBorder="1" applyAlignment="1">
      <alignment horizontal="center"/>
    </xf>
    <xf numFmtId="9" fontId="4" fillId="0" borderId="3" xfId="2" applyFont="1" applyFill="1" applyBorder="1" applyAlignment="1">
      <alignment horizontal="center"/>
    </xf>
    <xf numFmtId="166" fontId="14" fillId="0" borderId="0" xfId="1" applyNumberFormat="1" applyFont="1" applyBorder="1" applyAlignment="1">
      <alignment horizontal="center" vertical="center"/>
    </xf>
    <xf numFmtId="166" fontId="14" fillId="8" borderId="0" xfId="1" applyNumberFormat="1" applyFont="1" applyFill="1" applyBorder="1" applyAlignment="1">
      <alignment horizontal="center" vertical="center"/>
    </xf>
    <xf numFmtId="0" fontId="17" fillId="10" borderId="3" xfId="0" applyFont="1" applyFill="1" applyBorder="1" applyAlignment="1">
      <alignment horizontal="center" vertical="center"/>
    </xf>
    <xf numFmtId="8" fontId="6" fillId="6" borderId="3" xfId="0" applyNumberFormat="1" applyFont="1" applyFill="1" applyBorder="1" applyProtection="1">
      <protection locked="0"/>
    </xf>
    <xf numFmtId="166" fontId="21" fillId="8" borderId="3" xfId="1" applyNumberFormat="1" applyFont="1" applyFill="1" applyBorder="1" applyAlignment="1">
      <alignment horizontal="center"/>
    </xf>
    <xf numFmtId="9" fontId="11" fillId="0" borderId="0" xfId="2" applyFont="1"/>
    <xf numFmtId="9" fontId="11" fillId="0" borderId="0" xfId="1" applyNumberFormat="1" applyFont="1"/>
    <xf numFmtId="14" fontId="11" fillId="0" borderId="0" xfId="1" applyNumberFormat="1" applyFont="1"/>
    <xf numFmtId="0" fontId="11" fillId="0" borderId="0" xfId="1" applyNumberFormat="1" applyFont="1"/>
    <xf numFmtId="167" fontId="11" fillId="0" borderId="0" xfId="2" applyNumberFormat="1" applyFont="1" applyAlignment="1">
      <alignment horizontal="right"/>
    </xf>
    <xf numFmtId="164" fontId="28" fillId="0" borderId="0" xfId="1" applyNumberFormat="1" applyFont="1" applyAlignment="1"/>
    <xf numFmtId="0" fontId="6" fillId="0" borderId="3" xfId="0" applyFont="1" applyBorder="1" applyProtection="1">
      <protection locked="0"/>
    </xf>
    <xf numFmtId="0" fontId="29" fillId="2" borderId="12" xfId="0" applyFont="1" applyFill="1" applyBorder="1"/>
    <xf numFmtId="0" fontId="15" fillId="0" borderId="0" xfId="0" applyFont="1"/>
    <xf numFmtId="0" fontId="31" fillId="0" borderId="0" xfId="0" applyFont="1"/>
    <xf numFmtId="9" fontId="32" fillId="0" borderId="0" xfId="2" applyFont="1" applyAlignment="1">
      <alignment horizontal="right"/>
    </xf>
    <xf numFmtId="0" fontId="32" fillId="0" borderId="0" xfId="0" applyFont="1" applyAlignment="1">
      <alignment horizontal="right"/>
    </xf>
    <xf numFmtId="1" fontId="32" fillId="0" borderId="0" xfId="2" applyNumberFormat="1" applyFont="1" applyAlignment="1">
      <alignment horizontal="right"/>
    </xf>
    <xf numFmtId="2" fontId="32" fillId="0" borderId="0" xfId="0" applyNumberFormat="1" applyFont="1" applyAlignment="1">
      <alignment horizontal="right"/>
    </xf>
    <xf numFmtId="1" fontId="32" fillId="0" borderId="0" xfId="0" applyNumberFormat="1" applyFont="1" applyAlignment="1">
      <alignment horizontal="right"/>
    </xf>
    <xf numFmtId="0" fontId="15" fillId="6" borderId="0" xfId="0" applyFont="1" applyFill="1" applyAlignment="1">
      <alignment horizontal="center"/>
    </xf>
    <xf numFmtId="0" fontId="24" fillId="7" borderId="0" xfId="0" applyFont="1" applyFill="1" applyAlignment="1">
      <alignment horizontal="left" vertical="center" indent="4"/>
    </xf>
    <xf numFmtId="0" fontId="4" fillId="7" borderId="0" xfId="0" applyFont="1" applyFill="1" applyProtection="1">
      <protection locked="0"/>
    </xf>
    <xf numFmtId="0" fontId="30" fillId="7" borderId="0" xfId="0" applyFont="1" applyFill="1"/>
    <xf numFmtId="0" fontId="4" fillId="7" borderId="0" xfId="0" applyFont="1" applyFill="1"/>
    <xf numFmtId="0" fontId="2" fillId="2" borderId="5" xfId="0" applyFont="1" applyFill="1" applyBorder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164" fontId="4" fillId="0" borderId="6" xfId="1" applyNumberFormat="1" applyFont="1" applyBorder="1" applyAlignment="1">
      <alignment horizontal="center" vertical="center"/>
    </xf>
    <xf numFmtId="166" fontId="11" fillId="0" borderId="0" xfId="2" applyNumberFormat="1" applyFont="1" applyAlignment="1">
      <alignment horizontal="center"/>
    </xf>
    <xf numFmtId="166" fontId="15" fillId="0" borderId="0" xfId="0" applyNumberFormat="1" applyFont="1"/>
    <xf numFmtId="166" fontId="17" fillId="8" borderId="3" xfId="1" applyNumberFormat="1" applyFont="1" applyFill="1" applyBorder="1"/>
    <xf numFmtId="0" fontId="15" fillId="0" borderId="0" xfId="0" applyFont="1"/>
    <xf numFmtId="166" fontId="4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66" fontId="3" fillId="0" borderId="0" xfId="2" applyNumberFormat="1" applyFont="1" applyAlignment="1">
      <alignment horizontal="center"/>
    </xf>
    <xf numFmtId="0" fontId="2" fillId="2" borderId="8" xfId="0" applyFont="1" applyFill="1" applyBorder="1" applyAlignment="1">
      <alignment horizontal="center"/>
    </xf>
    <xf numFmtId="164" fontId="28" fillId="0" borderId="0" xfId="1" applyNumberFormat="1" applyFont="1"/>
    <xf numFmtId="164" fontId="28" fillId="0" borderId="0" xfId="1" applyNumberFormat="1" applyFont="1" applyAlignment="1"/>
  </cellXfs>
  <cellStyles count="3">
    <cellStyle name="Comma" xfId="1" builtinId="3"/>
    <cellStyle name="Normal" xfId="0" builtinId="0"/>
    <cellStyle name="Percent" xfId="2" builtinId="5"/>
  </cellStyles>
  <dxfs count="11"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rgb="FF00B05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8" tint="0.59996337778862885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8" tint="0.59996337778862885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8" tint="0.59996337778862885"/>
        </patternFill>
      </fill>
      <border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ln>
                  <a:noFill/>
                </a:ln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n>
                  <a:noFill/>
                </a:ln>
                <a:solidFill>
                  <a:sysClr val="windowText" lastClr="000000"/>
                </a:solidFill>
              </a:rPr>
              <a:t>Free</a:t>
            </a:r>
            <a:r>
              <a:rPr lang="en-US" b="1" baseline="0">
                <a:ln>
                  <a:noFill/>
                </a:ln>
                <a:solidFill>
                  <a:sysClr val="windowText" lastClr="000000"/>
                </a:solidFill>
              </a:rPr>
              <a:t> Cash Flow</a:t>
            </a:r>
            <a:endParaRPr lang="en-US" b="1">
              <a:ln>
                <a:noFill/>
              </a:ln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19418191641205"/>
          <c:y val="0.18560185185185185"/>
          <c:w val="0.86540711618279986"/>
          <c:h val="0.790620971376019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'Financial Modelling'!$C$438:$G$438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'Financial Modelling'!$C$437:$G$437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E3B-40D3-A2BA-B8AD744B3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1"/>
        <c:overlap val="13"/>
        <c:axId val="1507559680"/>
        <c:axId val="1507561600"/>
      </c:barChart>
      <c:catAx>
        <c:axId val="150755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561600"/>
        <c:crosses val="autoZero"/>
        <c:auto val="1"/>
        <c:lblAlgn val="ctr"/>
        <c:lblOffset val="100"/>
        <c:noMultiLvlLbl val="0"/>
      </c:catAx>
      <c:valAx>
        <c:axId val="1507561600"/>
        <c:scaling>
          <c:orientation val="minMax"/>
        </c:scaling>
        <c:delete val="1"/>
        <c:axPos val="l"/>
        <c:numFmt formatCode="#,###;\(#,###\)" sourceLinked="1"/>
        <c:majorTickMark val="none"/>
        <c:minorTickMark val="none"/>
        <c:tickLblPos val="nextTo"/>
        <c:crossAx val="1507559680"/>
        <c:crosses val="autoZero"/>
        <c:crossBetween val="between"/>
      </c:valAx>
      <c:spPr>
        <a:noFill/>
        <a:ln w="127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</a:rPr>
              <a:t>Linear</a:t>
            </a:r>
            <a:r>
              <a:rPr lang="en-US" baseline="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</a:rPr>
              <a:t> Growth</a:t>
            </a:r>
            <a:r>
              <a:rPr lang="en-US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</a:rPr>
              <a:t> of FCF</a:t>
            </a:r>
            <a:r>
              <a:rPr lang="en-US" baseline="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</a:rPr>
              <a:t> Par Year</a:t>
            </a:r>
            <a:endParaRPr lang="en-US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87205509006128"/>
          <c:y val="0.14907279350149449"/>
          <c:w val="0.82440132629051921"/>
          <c:h val="0.8317057584983710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'Financial Modelling'!$C$437:$G$437</c:f>
            </c:numRef>
          </c:xVal>
          <c:yVal>
            <c:numRef>
              <c:f>'Financial Modelling'!$C$438:$G$438</c:f>
            </c:numRef>
          </c:yVal>
          <c:smooth val="0"/>
          <c:extLst>
            <c:ext xmlns:c16="http://schemas.microsoft.com/office/drawing/2014/chart" uri="{C3380CC4-5D6E-409C-BE32-E72D297353CC}">
              <c16:uniqueId val="{00000000-4D73-4A15-AEAB-B570A64B2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50480"/>
        <c:axId val="1569251920"/>
      </c:scatterChart>
      <c:valAx>
        <c:axId val="1569250480"/>
        <c:scaling>
          <c:orientation val="minMax"/>
          <c:max val="2029"/>
          <c:min val="2023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9251920"/>
        <c:crosses val="autoZero"/>
        <c:crossBetween val="midCat"/>
      </c:valAx>
      <c:valAx>
        <c:axId val="1569251920"/>
        <c:scaling>
          <c:orientation val="minMax"/>
        </c:scaling>
        <c:delete val="0"/>
        <c:axPos val="l"/>
        <c:numFmt formatCode="#,###;\(#,###\)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925048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439</xdr:row>
      <xdr:rowOff>0</xdr:rowOff>
    </xdr:from>
    <xdr:to>
      <xdr:col>21</xdr:col>
      <xdr:colOff>142875</xdr:colOff>
      <xdr:row>515</xdr:row>
      <xdr:rowOff>9519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C189FD-7191-5EF0-63DA-AE596DF787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123825</xdr:colOff>
      <xdr:row>436</xdr:row>
      <xdr:rowOff>123825</xdr:rowOff>
    </xdr:from>
    <xdr:to>
      <xdr:col>28</xdr:col>
      <xdr:colOff>571500</xdr:colOff>
      <xdr:row>516</xdr:row>
      <xdr:rowOff>152394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CB7BB7-63FA-3DAA-C27E-6DF675B0B0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9</xdr:col>
      <xdr:colOff>241268</xdr:colOff>
      <xdr:row>411</xdr:row>
      <xdr:rowOff>0</xdr:rowOff>
    </xdr:from>
    <xdr:ext cx="2178082" cy="457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B7927DD-6247-54C0-1FE9-C7190B811D2C}"/>
                </a:ext>
              </a:extLst>
            </xdr:cNvPr>
            <xdr:cNvSpPr txBox="1"/>
          </xdr:nvSpPr>
          <xdr:spPr>
            <a:xfrm>
              <a:off x="10852118" y="6762750"/>
              <a:ext cx="2178082" cy="457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𝑇𝑉</m:t>
                    </m:r>
                    <m:r>
                      <a:rPr lang="en-US" sz="1100" b="0" i="1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=(</m:t>
                    </m:r>
                    <m:r>
                      <a:rPr lang="en-US" sz="1100" b="0" i="1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𝐹𝐶𝐹</m:t>
                    </m:r>
                    <m:r>
                      <a:rPr lang="en-US" sz="1100" b="0" i="1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d>
                      <m:dPr>
                        <m:ctrlPr>
                          <a:rPr lang="en-US" sz="1100" b="0" i="1">
                            <a:ln>
                              <a:solidFill>
                                <a:sysClr val="windowText" lastClr="000000"/>
                              </a:solidFill>
                            </a:ln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n>
                              <a:solidFill>
                                <a:sysClr val="windowText" lastClr="000000"/>
                              </a:solidFill>
                            </a:ln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en-US" sz="1100" b="0" i="1">
                            <a:ln>
                              <a:solidFill>
                                <a:sysClr val="windowText" lastClr="000000"/>
                              </a:solidFill>
                            </a:ln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𝑔</m:t>
                        </m:r>
                      </m:e>
                    </m:d>
                    <m:r>
                      <a:rPr lang="en-US" sz="1100" b="0" i="1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)/(</m:t>
                    </m:r>
                    <m:r>
                      <a:rPr lang="en-US" sz="1100" b="0" i="1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𝑊𝐴𝐶𝐶</m:t>
                    </m:r>
                    <m:r>
                      <a:rPr lang="en-US" sz="1100" b="0" i="1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𝑔</m:t>
                    </m:r>
                    <m:r>
                      <a:rPr lang="en-US" sz="1100" b="0" i="1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B7927DD-6247-54C0-1FE9-C7190B811D2C}"/>
                </a:ext>
              </a:extLst>
            </xdr:cNvPr>
            <xdr:cNvSpPr txBox="1"/>
          </xdr:nvSpPr>
          <xdr:spPr>
            <a:xfrm>
              <a:off x="10852118" y="6762750"/>
              <a:ext cx="2178082" cy="457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100" b="0" i="0">
                  <a:ln>
                    <a:solidFill>
                      <a:sysClr val="windowText" lastClr="000000"/>
                    </a:solidFill>
                  </a:ln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𝑇𝑉=(𝐹𝐶𝐹∗(1+𝑔))/(𝑊𝐴𝐶𝐶−𝑔)</a:t>
              </a:r>
              <a:endParaRPr lang="en-US" sz="110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V"/>
  <dimension ref="B3:O33"/>
  <sheetViews>
    <sheetView showGridLines="0" showRowColHeaders="0" workbookViewId="0">
      <selection activeCell="C1" sqref="C1"/>
    </sheetView>
  </sheetViews>
  <sheetFormatPr defaultRowHeight="16.5" x14ac:dyDescent="0.3"/>
  <cols>
    <col min="1" max="2" width="9.140625" style="2"/>
    <col min="3" max="3" width="18.85546875" style="2" customWidth="1"/>
    <col min="4" max="4" width="16.85546875" style="2" customWidth="1"/>
    <col min="5" max="5" width="14.7109375" style="2" customWidth="1"/>
    <col min="6" max="7" width="9.140625" style="2"/>
    <col min="8" max="8" width="15.7109375" style="2" customWidth="1"/>
    <col min="9" max="11" width="9.140625" style="2"/>
    <col min="12" max="12" width="17.42578125" style="2" customWidth="1"/>
    <col min="13" max="13" width="9.140625" style="2"/>
    <col min="14" max="14" width="16.85546875" style="2" customWidth="1"/>
    <col min="15" max="16384" width="9.140625" style="2"/>
  </cols>
  <sheetData>
    <row r="3" spans="2:15" ht="15" customHeight="1" x14ac:dyDescent="0.3">
      <c r="B3" s="198" t="s">
        <v>249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2:15" ht="15" customHeight="1" x14ac:dyDescent="0.3">
      <c r="B4" s="198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</row>
    <row r="5" spans="2:15" ht="15" customHeight="1" x14ac:dyDescent="0.3">
      <c r="B5" s="198"/>
      <c r="C5" s="198"/>
      <c r="D5" s="198"/>
      <c r="E5" s="198"/>
      <c r="F5" s="198"/>
      <c r="G5" s="198"/>
      <c r="H5" s="198"/>
      <c r="I5" s="198"/>
      <c r="J5" s="198"/>
      <c r="K5" s="198"/>
      <c r="L5" s="198"/>
      <c r="M5" s="198"/>
      <c r="N5" s="198"/>
      <c r="O5" s="198"/>
    </row>
    <row r="6" spans="2:15" ht="15" customHeight="1" x14ac:dyDescent="0.3">
      <c r="B6" s="198"/>
      <c r="C6" s="198"/>
      <c r="D6" s="198"/>
      <c r="E6" s="198"/>
      <c r="F6" s="198"/>
      <c r="G6" s="198"/>
      <c r="H6" s="198"/>
      <c r="I6" s="198"/>
      <c r="J6" s="198"/>
      <c r="K6" s="198"/>
      <c r="L6" s="198"/>
      <c r="M6" s="198"/>
      <c r="N6" s="198"/>
      <c r="O6" s="198"/>
    </row>
    <row r="7" spans="2:15" ht="15" customHeight="1" x14ac:dyDescent="0.3">
      <c r="B7" s="198"/>
      <c r="C7" s="198"/>
      <c r="D7" s="198"/>
      <c r="E7" s="198"/>
      <c r="F7" s="198"/>
      <c r="G7" s="198"/>
      <c r="H7" s="198"/>
      <c r="I7" s="198"/>
      <c r="J7" s="198"/>
      <c r="K7" s="198"/>
      <c r="L7" s="198"/>
      <c r="M7" s="198"/>
      <c r="N7" s="198"/>
      <c r="O7" s="198"/>
    </row>
    <row r="8" spans="2:15" ht="15" customHeight="1" x14ac:dyDescent="0.3"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</row>
    <row r="9" spans="2:15" ht="17.25" x14ac:dyDescent="0.35">
      <c r="B9" s="104"/>
      <c r="C9" s="201" t="s">
        <v>250</v>
      </c>
      <c r="D9" s="201"/>
      <c r="E9" s="201"/>
      <c r="F9" s="201"/>
      <c r="G9" s="201"/>
      <c r="H9" s="201"/>
      <c r="I9" s="201"/>
      <c r="J9" s="201"/>
      <c r="K9" s="201"/>
      <c r="L9" s="201"/>
      <c r="M9" s="201"/>
      <c r="N9" s="201"/>
      <c r="O9" s="201"/>
    </row>
    <row r="10" spans="2:15" ht="17.25" x14ac:dyDescent="0.35">
      <c r="B10" s="104"/>
      <c r="C10" s="104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5" t="s">
        <v>158</v>
      </c>
      <c r="O10" s="104"/>
    </row>
    <row r="11" spans="2:15" ht="18" thickBot="1" x14ac:dyDescent="0.4">
      <c r="B11" s="104"/>
      <c r="C11" s="106" t="s">
        <v>156</v>
      </c>
      <c r="D11" s="106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</row>
    <row r="12" spans="2:15" ht="17.25" thickTop="1" x14ac:dyDescent="0.3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</row>
    <row r="13" spans="2:15" ht="18" x14ac:dyDescent="0.35">
      <c r="B13" s="104"/>
      <c r="C13" s="200" t="s">
        <v>248</v>
      </c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104"/>
    </row>
    <row r="14" spans="2:15" ht="17.25" x14ac:dyDescent="0.35">
      <c r="B14" s="104"/>
      <c r="C14" s="199"/>
      <c r="D14" s="199"/>
      <c r="E14" s="199"/>
      <c r="F14" s="199"/>
      <c r="G14" s="199"/>
      <c r="H14" s="199"/>
      <c r="I14" s="199"/>
      <c r="J14" s="199"/>
      <c r="K14" s="199"/>
      <c r="L14" s="199"/>
      <c r="M14" s="199"/>
      <c r="N14" s="199"/>
      <c r="O14" s="104"/>
    </row>
    <row r="15" spans="2:15" ht="17.25" x14ac:dyDescent="0.35">
      <c r="B15" s="104"/>
      <c r="C15" s="199"/>
      <c r="D15" s="199"/>
      <c r="E15" s="199"/>
      <c r="F15" s="199"/>
      <c r="G15" s="199"/>
      <c r="H15" s="199"/>
      <c r="I15" s="199"/>
      <c r="J15" s="199"/>
      <c r="K15" s="199"/>
      <c r="L15" s="199"/>
      <c r="M15" s="199"/>
      <c r="N15" s="199"/>
      <c r="O15" s="104"/>
    </row>
    <row r="16" spans="2:15" x14ac:dyDescent="0.3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</row>
    <row r="17" spans="2:15" ht="17.25" x14ac:dyDescent="0.35">
      <c r="B17" s="104"/>
      <c r="C17" s="109" t="s">
        <v>157</v>
      </c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4"/>
    </row>
    <row r="18" spans="2:15" x14ac:dyDescent="0.3">
      <c r="B18" s="104"/>
      <c r="C18" s="108" t="s">
        <v>272</v>
      </c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4"/>
    </row>
    <row r="19" spans="2:15" ht="17.25" x14ac:dyDescent="0.35">
      <c r="B19" s="104"/>
      <c r="C19" s="108" t="s">
        <v>162</v>
      </c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4"/>
    </row>
    <row r="20" spans="2:15" x14ac:dyDescent="0.3">
      <c r="B20" s="104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4"/>
    </row>
    <row r="21" spans="2:15" ht="17.25" x14ac:dyDescent="0.35">
      <c r="B21" s="104"/>
      <c r="C21" s="105" t="s">
        <v>163</v>
      </c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</row>
    <row r="22" spans="2:15" ht="17.25" x14ac:dyDescent="0.35">
      <c r="B22" s="104"/>
      <c r="C22" s="105" t="s">
        <v>159</v>
      </c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</row>
    <row r="23" spans="2:15" ht="17.25" x14ac:dyDescent="0.35">
      <c r="B23" s="104"/>
      <c r="C23" s="105" t="s">
        <v>160</v>
      </c>
      <c r="D23" s="104"/>
      <c r="E23" s="104"/>
      <c r="F23" s="104"/>
      <c r="G23" s="104"/>
      <c r="H23" s="104"/>
      <c r="I23" s="105" t="s">
        <v>161</v>
      </c>
      <c r="J23" s="105" t="str">
        <f>"+ 254 713883912"</f>
        <v>+ 254 713883912</v>
      </c>
      <c r="K23" s="105"/>
      <c r="L23" s="104"/>
      <c r="M23" s="104"/>
      <c r="N23" s="104"/>
      <c r="O23" s="104"/>
    </row>
    <row r="24" spans="2:15" x14ac:dyDescent="0.3">
      <c r="B24" s="104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4"/>
    </row>
    <row r="25" spans="2:15" ht="17.25" x14ac:dyDescent="0.35">
      <c r="B25" s="104"/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04"/>
    </row>
    <row r="26" spans="2:15" ht="17.25" x14ac:dyDescent="0.35">
      <c r="B26" s="104"/>
      <c r="C26" s="199"/>
      <c r="D26" s="199"/>
      <c r="E26" s="199"/>
      <c r="F26" s="199"/>
      <c r="G26" s="199"/>
      <c r="H26" s="199"/>
      <c r="I26" s="199"/>
      <c r="J26" s="199"/>
      <c r="K26" s="199"/>
      <c r="L26" s="199"/>
      <c r="M26" s="199"/>
      <c r="N26" s="199"/>
      <c r="O26" s="104"/>
    </row>
    <row r="27" spans="2:15" ht="17.25" x14ac:dyDescent="0.35">
      <c r="B27" s="104"/>
      <c r="C27" s="105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</row>
    <row r="28" spans="2:15" ht="17.25" x14ac:dyDescent="0.35">
      <c r="B28" s="104"/>
      <c r="C28" s="199"/>
      <c r="D28" s="199"/>
      <c r="E28" s="199"/>
      <c r="F28" s="199"/>
      <c r="G28" s="199"/>
      <c r="H28" s="199"/>
      <c r="I28" s="199"/>
      <c r="J28" s="199"/>
      <c r="K28" s="199"/>
      <c r="L28" s="199"/>
      <c r="M28" s="199"/>
      <c r="N28" s="199"/>
      <c r="O28" s="104"/>
    </row>
    <row r="29" spans="2:15" ht="17.25" x14ac:dyDescent="0.35">
      <c r="B29" s="104"/>
      <c r="C29" s="199"/>
      <c r="D29" s="199"/>
      <c r="E29" s="199"/>
      <c r="F29" s="199"/>
      <c r="G29" s="199"/>
      <c r="H29" s="199"/>
      <c r="I29" s="199"/>
      <c r="J29" s="199"/>
      <c r="K29" s="199"/>
      <c r="L29" s="199"/>
      <c r="M29" s="199"/>
      <c r="N29" s="199"/>
      <c r="O29" s="104"/>
    </row>
    <row r="30" spans="2:15" ht="17.25" x14ac:dyDescent="0.35">
      <c r="B30" s="104"/>
      <c r="C30" s="105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</row>
    <row r="31" spans="2:15" ht="17.25" x14ac:dyDescent="0.35">
      <c r="B31" s="104"/>
      <c r="C31" s="199"/>
      <c r="D31" s="199"/>
      <c r="E31" s="199"/>
      <c r="F31" s="199"/>
      <c r="G31" s="199"/>
      <c r="H31" s="199"/>
      <c r="I31" s="199"/>
      <c r="J31" s="199"/>
      <c r="K31" s="199"/>
      <c r="L31" s="199"/>
      <c r="M31" s="199"/>
      <c r="N31" s="199"/>
      <c r="O31" s="104"/>
    </row>
    <row r="32" spans="2:15" ht="17.25" x14ac:dyDescent="0.35">
      <c r="B32" s="104"/>
      <c r="C32" s="199"/>
      <c r="D32" s="199"/>
      <c r="E32" s="199"/>
      <c r="F32" s="199"/>
      <c r="G32" s="199"/>
      <c r="H32" s="199"/>
      <c r="I32" s="199"/>
      <c r="J32" s="199"/>
      <c r="K32" s="199"/>
      <c r="L32" s="199"/>
      <c r="M32" s="199"/>
      <c r="N32" s="199"/>
      <c r="O32" s="104"/>
    </row>
    <row r="33" spans="2:15" x14ac:dyDescent="0.3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</row>
  </sheetData>
  <sheetProtection insertHyperlinks="0" selectLockedCells="1" sort="0" autoFilter="0"/>
  <mergeCells count="11">
    <mergeCell ref="B3:O8"/>
    <mergeCell ref="C32:N32"/>
    <mergeCell ref="C13:N13"/>
    <mergeCell ref="C14:N14"/>
    <mergeCell ref="C15:N15"/>
    <mergeCell ref="C25:N25"/>
    <mergeCell ref="C26:N26"/>
    <mergeCell ref="C28:N28"/>
    <mergeCell ref="C29:N29"/>
    <mergeCell ref="C31:N31"/>
    <mergeCell ref="C9:O9"/>
  </mergeCells>
  <conditionalFormatting sqref="C25:N26 C28:N29 C31:N32">
    <cfRule type="containsBlanks" dxfId="10" priority="4">
      <formula>LEN(TRIM(C25))=0</formula>
    </cfRule>
  </conditionalFormatting>
  <conditionalFormatting sqref="C14:N14">
    <cfRule type="containsBlanks" dxfId="9" priority="2">
      <formula>LEN(TRIM(C14))=0</formula>
    </cfRule>
  </conditionalFormatting>
  <conditionalFormatting sqref="C15:N15">
    <cfRule type="containsBlanks" dxfId="8" priority="1">
      <formula>LEN(TRIM(C15))=0</formula>
    </cfRule>
  </conditionalFormatting>
  <pageMargins left="0.7" right="0.7" top="0.75" bottom="0.75" header="0.3" footer="0.3"/>
  <pageSetup orientation="portrait" r:id="rId1"/>
  <ignoredErrors>
    <ignoredError sqref="J23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D"/>
  <dimension ref="A1:AN300"/>
  <sheetViews>
    <sheetView showGridLines="0" topLeftCell="A2" zoomScaleNormal="100" workbookViewId="0">
      <selection activeCell="J153" sqref="J153"/>
    </sheetView>
  </sheetViews>
  <sheetFormatPr defaultRowHeight="15" x14ac:dyDescent="0.25"/>
  <cols>
    <col min="1" max="1" width="24.28515625" style="136" bestFit="1" customWidth="1"/>
    <col min="2" max="2" width="16.42578125" style="136" customWidth="1"/>
    <col min="3" max="3" width="16.28515625" style="136" customWidth="1"/>
    <col min="4" max="4" width="21" style="136" customWidth="1"/>
    <col min="5" max="5" width="14.7109375" style="136" customWidth="1"/>
    <col min="6" max="6" width="16.140625" style="136" customWidth="1"/>
    <col min="7" max="7" width="15.85546875" style="136" bestFit="1" customWidth="1"/>
    <col min="8" max="8" width="12.7109375" style="136" bestFit="1" customWidth="1"/>
    <col min="9" max="10" width="12.5703125" style="136" bestFit="1" customWidth="1"/>
    <col min="11" max="11" width="14.28515625" style="136" bestFit="1" customWidth="1"/>
    <col min="12" max="12" width="10.5703125" style="136" bestFit="1" customWidth="1"/>
    <col min="13" max="13" width="9.5703125" style="136" bestFit="1" customWidth="1"/>
    <col min="14" max="14" width="9.140625" style="136"/>
    <col min="16" max="16" width="0" hidden="1" customWidth="1"/>
    <col min="17" max="17" width="13.28515625" hidden="1" customWidth="1"/>
    <col min="18" max="19" width="14.28515625" hidden="1" customWidth="1"/>
    <col min="20" max="20" width="14.42578125" hidden="1" customWidth="1"/>
    <col min="21" max="21" width="0" hidden="1" customWidth="1"/>
    <col min="22" max="24" width="14.28515625" hidden="1" customWidth="1"/>
    <col min="25" max="25" width="15.28515625" hidden="1" customWidth="1"/>
    <col min="26" max="26" width="0" hidden="1" customWidth="1"/>
    <col min="27" max="28" width="14.28515625" hidden="1" customWidth="1"/>
    <col min="29" max="30" width="15.28515625" hidden="1" customWidth="1"/>
    <col min="31" max="31" width="0" hidden="1" customWidth="1"/>
    <col min="32" max="33" width="14.28515625" hidden="1" customWidth="1"/>
    <col min="34" max="35" width="15.28515625" hidden="1" customWidth="1"/>
    <col min="36" max="36" width="0" hidden="1" customWidth="1"/>
    <col min="37" max="37" width="14.28515625" hidden="1" customWidth="1"/>
    <col min="38" max="40" width="15.28515625" hidden="1" customWidth="1"/>
    <col min="41" max="41" width="0" hidden="1" customWidth="1"/>
  </cols>
  <sheetData>
    <row r="1" spans="1:40" ht="17.25" x14ac:dyDescent="0.35">
      <c r="S1" s="4"/>
    </row>
    <row r="2" spans="1:40" ht="17.25" x14ac:dyDescent="0.35">
      <c r="B2" s="203" t="s">
        <v>0</v>
      </c>
      <c r="C2" s="203"/>
      <c r="D2" s="203"/>
      <c r="E2" s="203"/>
      <c r="S2" s="4"/>
    </row>
    <row r="3" spans="1:40" ht="17.25" x14ac:dyDescent="0.35">
      <c r="G3" s="137" t="s">
        <v>27</v>
      </c>
      <c r="S3" s="4"/>
    </row>
    <row r="4" spans="1:40" ht="17.25" x14ac:dyDescent="0.35">
      <c r="A4" s="138" t="s">
        <v>36</v>
      </c>
      <c r="C4" s="137" t="s">
        <v>22</v>
      </c>
      <c r="D4" s="137" t="s">
        <v>23</v>
      </c>
      <c r="E4" s="137" t="s">
        <v>24</v>
      </c>
      <c r="F4" s="137" t="s">
        <v>25</v>
      </c>
      <c r="G4" s="137" t="s">
        <v>26</v>
      </c>
      <c r="S4" s="4"/>
    </row>
    <row r="5" spans="1:40" ht="17.25" x14ac:dyDescent="0.35">
      <c r="A5" s="139" t="s">
        <v>18</v>
      </c>
      <c r="B5" s="140"/>
      <c r="C5" s="140">
        <v>5</v>
      </c>
      <c r="D5" s="140">
        <v>5</v>
      </c>
      <c r="E5" s="140">
        <v>5</v>
      </c>
      <c r="F5" s="140">
        <v>5</v>
      </c>
      <c r="G5" s="140">
        <f>SUM(C5:F5)</f>
        <v>20</v>
      </c>
      <c r="S5" s="4"/>
    </row>
    <row r="6" spans="1:40" ht="17.25" x14ac:dyDescent="0.35">
      <c r="A6" s="139" t="s">
        <v>7</v>
      </c>
      <c r="B6" s="140" t="s">
        <v>19</v>
      </c>
      <c r="C6" s="141">
        <v>76200</v>
      </c>
      <c r="D6" s="141">
        <v>98200</v>
      </c>
      <c r="E6" s="141">
        <v>99100</v>
      </c>
      <c r="F6" s="141">
        <v>115250</v>
      </c>
      <c r="G6" s="141"/>
      <c r="Q6" s="17"/>
      <c r="R6" s="202" t="s">
        <v>77</v>
      </c>
      <c r="S6" s="202"/>
      <c r="T6" s="202"/>
      <c r="U6" s="202"/>
      <c r="V6" s="12"/>
      <c r="W6" s="202" t="s">
        <v>78</v>
      </c>
      <c r="X6" s="202"/>
      <c r="Y6" s="202"/>
      <c r="Z6" s="202"/>
      <c r="AA6" s="12"/>
      <c r="AB6" s="202" t="s">
        <v>79</v>
      </c>
      <c r="AC6" s="202"/>
      <c r="AD6" s="202"/>
      <c r="AE6" s="202"/>
      <c r="AF6" s="12"/>
      <c r="AG6" s="202" t="s">
        <v>80</v>
      </c>
      <c r="AH6" s="202"/>
      <c r="AI6" s="202"/>
      <c r="AJ6" s="202"/>
      <c r="AK6" s="12"/>
      <c r="AL6" s="202" t="s">
        <v>81</v>
      </c>
      <c r="AM6" s="202"/>
      <c r="AN6" s="202"/>
    </row>
    <row r="7" spans="1:40" ht="17.25" x14ac:dyDescent="0.3">
      <c r="A7" s="139"/>
      <c r="B7" s="142" t="s">
        <v>20</v>
      </c>
      <c r="C7" s="143">
        <f>C5*C6*3</f>
        <v>1143000</v>
      </c>
      <c r="D7" s="143">
        <f t="shared" ref="D7:F7" si="0">D5*D6*3</f>
        <v>1473000</v>
      </c>
      <c r="E7" s="143">
        <f t="shared" si="0"/>
        <v>1486500</v>
      </c>
      <c r="F7" s="143">
        <f t="shared" si="0"/>
        <v>1728750</v>
      </c>
      <c r="G7" s="143">
        <f>SUM(C7:F7)</f>
        <v>5831250</v>
      </c>
      <c r="Q7" s="7" t="s">
        <v>14</v>
      </c>
      <c r="R7" s="7" t="s">
        <v>15</v>
      </c>
      <c r="S7" s="7" t="s">
        <v>16</v>
      </c>
      <c r="T7" s="7" t="s">
        <v>59</v>
      </c>
      <c r="U7" s="7"/>
      <c r="V7" s="7" t="s">
        <v>14</v>
      </c>
      <c r="W7" s="7" t="s">
        <v>15</v>
      </c>
      <c r="X7" s="7" t="s">
        <v>16</v>
      </c>
      <c r="Y7" s="7" t="s">
        <v>59</v>
      </c>
      <c r="Z7" s="7"/>
      <c r="AA7" s="7" t="s">
        <v>14</v>
      </c>
      <c r="AB7" s="7" t="s">
        <v>15</v>
      </c>
      <c r="AC7" s="7" t="s">
        <v>16</v>
      </c>
      <c r="AD7" s="7" t="s">
        <v>59</v>
      </c>
      <c r="AE7" s="7"/>
      <c r="AF7" s="7" t="s">
        <v>14</v>
      </c>
      <c r="AG7" s="7" t="s">
        <v>15</v>
      </c>
      <c r="AH7" s="7" t="s">
        <v>16</v>
      </c>
      <c r="AI7" s="7" t="s">
        <v>59</v>
      </c>
      <c r="AJ7" s="7"/>
      <c r="AK7" s="7" t="s">
        <v>14</v>
      </c>
      <c r="AL7" s="7" t="s">
        <v>15</v>
      </c>
      <c r="AM7" s="7" t="s">
        <v>16</v>
      </c>
      <c r="AN7" s="7" t="s">
        <v>59</v>
      </c>
    </row>
    <row r="8" spans="1:40" ht="16.5" x14ac:dyDescent="0.3">
      <c r="A8" s="139" t="s">
        <v>8</v>
      </c>
      <c r="B8" s="140"/>
      <c r="C8" s="141">
        <v>50000</v>
      </c>
      <c r="D8" s="141">
        <v>50000</v>
      </c>
      <c r="E8" s="141">
        <v>50000</v>
      </c>
      <c r="F8" s="141">
        <v>50000</v>
      </c>
      <c r="G8" s="141"/>
      <c r="Q8" s="34">
        <f>G7</f>
        <v>5831250</v>
      </c>
      <c r="R8" s="34">
        <f>I25</f>
        <v>17746500</v>
      </c>
      <c r="S8" s="34">
        <f>J43</f>
        <v>40254000</v>
      </c>
      <c r="T8" s="36">
        <f>SUM(Q8:S8)</f>
        <v>63831750</v>
      </c>
      <c r="V8" s="34">
        <f>G64</f>
        <v>12245640</v>
      </c>
      <c r="W8" s="34">
        <f>I82</f>
        <v>37267650</v>
      </c>
      <c r="X8" s="34">
        <f>J100</f>
        <v>84533400</v>
      </c>
      <c r="Y8" s="36">
        <f>SUM(V8:X8)</f>
        <v>134046690</v>
      </c>
      <c r="AA8" s="34">
        <f>G120</f>
        <v>19286910</v>
      </c>
      <c r="AB8" s="34">
        <f>I138</f>
        <v>58696560</v>
      </c>
      <c r="AC8" s="34">
        <f>J156</f>
        <v>133140105</v>
      </c>
      <c r="AD8" s="36">
        <f>SUM(AA8:AC8)</f>
        <v>211123575</v>
      </c>
      <c r="AF8" s="34">
        <f>G175</f>
        <v>27001620</v>
      </c>
      <c r="AG8" s="34">
        <f>I193</f>
        <v>82175220</v>
      </c>
      <c r="AH8" s="34">
        <f>J211</f>
        <v>186396180</v>
      </c>
      <c r="AI8" s="36">
        <f>SUM(AF8:AH8)</f>
        <v>295573020</v>
      </c>
      <c r="AK8" s="34">
        <f>G231</f>
        <v>35439603.999749996</v>
      </c>
      <c r="AL8" s="34">
        <f>I249</f>
        <v>107854907.7525</v>
      </c>
      <c r="AM8" s="34">
        <f>J267</f>
        <v>244644941.25</v>
      </c>
      <c r="AN8" s="36">
        <f>SUM(AK8:AM8)</f>
        <v>387939453.00224996</v>
      </c>
    </row>
    <row r="9" spans="1:40" ht="16.5" x14ac:dyDescent="0.3">
      <c r="A9" s="139"/>
      <c r="B9" s="142" t="s">
        <v>21</v>
      </c>
      <c r="C9" s="143">
        <f>C8*C5</f>
        <v>250000</v>
      </c>
      <c r="D9" s="143">
        <f t="shared" ref="D9:F9" si="1">D8*D5</f>
        <v>250000</v>
      </c>
      <c r="E9" s="143">
        <f t="shared" si="1"/>
        <v>250000</v>
      </c>
      <c r="F9" s="143">
        <f t="shared" si="1"/>
        <v>250000</v>
      </c>
      <c r="G9" s="143">
        <f>SUM(C9:F9)</f>
        <v>1000000</v>
      </c>
      <c r="Q9" s="34">
        <f>G9</f>
        <v>1000000</v>
      </c>
      <c r="R9" s="34">
        <f>I27</f>
        <v>1500000</v>
      </c>
      <c r="S9" s="34">
        <f>J45</f>
        <v>1750000</v>
      </c>
      <c r="T9" s="36">
        <f t="shared" ref="T9:T14" si="2">SUM(Q9:S9)</f>
        <v>4250000</v>
      </c>
      <c r="V9" s="34">
        <f>G66</f>
        <v>2000000</v>
      </c>
      <c r="W9" s="34">
        <f>I84</f>
        <v>3000000</v>
      </c>
      <c r="X9" s="34">
        <f>J102</f>
        <v>3500000</v>
      </c>
      <c r="Y9" s="36">
        <f t="shared" ref="Y9:Y14" si="3">SUM(V9:X9)</f>
        <v>8500000</v>
      </c>
      <c r="AA9" s="34">
        <f>G122</f>
        <v>3000000</v>
      </c>
      <c r="AB9" s="34">
        <f>I140</f>
        <v>4500000</v>
      </c>
      <c r="AC9" s="34">
        <f>J158</f>
        <v>5250000</v>
      </c>
      <c r="AD9" s="36">
        <f t="shared" ref="AD9:AD14" si="4">SUM(AA9:AC9)</f>
        <v>12750000</v>
      </c>
      <c r="AF9" s="34">
        <f>G177</f>
        <v>4000000</v>
      </c>
      <c r="AG9" s="34">
        <f>I195</f>
        <v>6000000</v>
      </c>
      <c r="AH9" s="34">
        <f>J213</f>
        <v>7000000</v>
      </c>
      <c r="AI9" s="36">
        <f t="shared" ref="AI9:AI14" si="5">SUM(AF9:AH9)</f>
        <v>17000000</v>
      </c>
      <c r="AK9" s="34">
        <f>G233</f>
        <v>5000000</v>
      </c>
      <c r="AL9" s="34">
        <f>I251</f>
        <v>7500000</v>
      </c>
      <c r="AM9" s="34">
        <f>J269</f>
        <v>8750000</v>
      </c>
      <c r="AN9" s="36">
        <f t="shared" ref="AN9:AN14" si="6">SUM(AK9:AM9)</f>
        <v>21250000</v>
      </c>
    </row>
    <row r="10" spans="1:40" ht="16.5" x14ac:dyDescent="0.3">
      <c r="A10" s="139" t="s">
        <v>10</v>
      </c>
      <c r="B10" s="140"/>
      <c r="C10" s="141">
        <v>70000</v>
      </c>
      <c r="D10" s="141">
        <v>70000</v>
      </c>
      <c r="E10" s="141">
        <v>70000</v>
      </c>
      <c r="F10" s="141">
        <v>70000</v>
      </c>
      <c r="G10" s="141"/>
      <c r="Q10" s="34">
        <f>G11</f>
        <v>1400000</v>
      </c>
      <c r="R10" s="34">
        <f>I29</f>
        <v>2100000</v>
      </c>
      <c r="S10" s="34">
        <f>J47</f>
        <v>2450000</v>
      </c>
      <c r="T10" s="36">
        <f t="shared" si="2"/>
        <v>5950000</v>
      </c>
      <c r="V10" s="34">
        <f>G68</f>
        <v>2800000</v>
      </c>
      <c r="W10" s="34">
        <f>I86</f>
        <v>4200000</v>
      </c>
      <c r="X10" s="34">
        <f>J104</f>
        <v>4900000</v>
      </c>
      <c r="Y10" s="36">
        <f t="shared" si="3"/>
        <v>11900000</v>
      </c>
      <c r="AA10" s="34">
        <f>G124</f>
        <v>4200000</v>
      </c>
      <c r="AB10" s="34">
        <f>I142</f>
        <v>6300000</v>
      </c>
      <c r="AC10" s="34">
        <f>J160</f>
        <v>7350000</v>
      </c>
      <c r="AD10" s="36">
        <f t="shared" si="4"/>
        <v>17850000</v>
      </c>
      <c r="AF10" s="34">
        <f>G179</f>
        <v>5600000</v>
      </c>
      <c r="AG10" s="34">
        <f>I197</f>
        <v>8400000</v>
      </c>
      <c r="AH10" s="34">
        <f>J215</f>
        <v>9800000</v>
      </c>
      <c r="AI10" s="36">
        <f>SUM(AF10:AH10)</f>
        <v>23800000</v>
      </c>
      <c r="AK10" s="34">
        <f>G235</f>
        <v>7000000</v>
      </c>
      <c r="AL10" s="34">
        <f>I253</f>
        <v>10500000</v>
      </c>
      <c r="AM10" s="34">
        <f>J271</f>
        <v>12250000</v>
      </c>
      <c r="AN10" s="36">
        <f t="shared" si="6"/>
        <v>29750000</v>
      </c>
    </row>
    <row r="11" spans="1:40" ht="16.5" x14ac:dyDescent="0.3">
      <c r="A11" s="139"/>
      <c r="B11" s="142" t="s">
        <v>21</v>
      </c>
      <c r="C11" s="143">
        <f>C10*C5</f>
        <v>350000</v>
      </c>
      <c r="D11" s="143">
        <f t="shared" ref="D11:F11" si="7">D10*D5</f>
        <v>350000</v>
      </c>
      <c r="E11" s="143">
        <f t="shared" si="7"/>
        <v>350000</v>
      </c>
      <c r="F11" s="143">
        <f t="shared" si="7"/>
        <v>350000</v>
      </c>
      <c r="G11" s="143">
        <f>SUM(C11:F11)</f>
        <v>1400000</v>
      </c>
      <c r="Q11" s="34">
        <f>G13</f>
        <v>3000000</v>
      </c>
      <c r="R11" s="34">
        <f>I31</f>
        <v>4500000</v>
      </c>
      <c r="S11" s="34">
        <f>J49</f>
        <v>5250000</v>
      </c>
      <c r="T11" s="36">
        <f t="shared" si="2"/>
        <v>12750000</v>
      </c>
      <c r="V11" s="34">
        <f>G70</f>
        <v>6000000</v>
      </c>
      <c r="W11" s="34">
        <f>I88</f>
        <v>9000000</v>
      </c>
      <c r="X11" s="34">
        <f>J106</f>
        <v>10500000</v>
      </c>
      <c r="Y11" s="36">
        <f t="shared" si="3"/>
        <v>25500000</v>
      </c>
      <c r="AA11" s="34">
        <f>G126</f>
        <v>9000000</v>
      </c>
      <c r="AB11" s="34">
        <f>I144</f>
        <v>13500000</v>
      </c>
      <c r="AC11" s="34">
        <f>J162</f>
        <v>15750000</v>
      </c>
      <c r="AD11" s="36">
        <f t="shared" si="4"/>
        <v>38250000</v>
      </c>
      <c r="AF11" s="34">
        <f>G181</f>
        <v>12000000</v>
      </c>
      <c r="AG11" s="34">
        <f>I199</f>
        <v>18000000</v>
      </c>
      <c r="AH11" s="34">
        <f>J217</f>
        <v>21000000</v>
      </c>
      <c r="AI11" s="36">
        <f t="shared" si="5"/>
        <v>51000000</v>
      </c>
      <c r="AK11" s="34">
        <f>G237</f>
        <v>15000000</v>
      </c>
      <c r="AL11" s="34">
        <f>I255</f>
        <v>22500000</v>
      </c>
      <c r="AM11" s="34">
        <f>J273</f>
        <v>26250000</v>
      </c>
      <c r="AN11" s="36">
        <f t="shared" si="6"/>
        <v>63750000</v>
      </c>
    </row>
    <row r="12" spans="1:40" ht="16.5" x14ac:dyDescent="0.3">
      <c r="A12" s="139" t="s">
        <v>9</v>
      </c>
      <c r="B12" s="140"/>
      <c r="C12" s="141">
        <v>150000</v>
      </c>
      <c r="D12" s="141">
        <v>150000</v>
      </c>
      <c r="E12" s="141">
        <v>150000</v>
      </c>
      <c r="F12" s="141">
        <v>150000</v>
      </c>
      <c r="G12" s="141"/>
      <c r="Q12" s="34">
        <f>G15</f>
        <v>2520000</v>
      </c>
      <c r="R12" s="34">
        <f>I33</f>
        <v>4185000</v>
      </c>
      <c r="S12" s="34">
        <f>J51</f>
        <v>5355000</v>
      </c>
      <c r="T12" s="36">
        <f t="shared" si="2"/>
        <v>12060000</v>
      </c>
      <c r="V12" s="34">
        <f>G72</f>
        <v>6525000</v>
      </c>
      <c r="W12" s="34">
        <f>I90</f>
        <v>8370000</v>
      </c>
      <c r="X12" s="34">
        <f>J108</f>
        <v>10710000</v>
      </c>
      <c r="Y12" s="36">
        <f t="shared" si="3"/>
        <v>25605000</v>
      </c>
      <c r="AA12" s="34">
        <f>G128</f>
        <v>7560000</v>
      </c>
      <c r="AB12" s="34">
        <f>I146</f>
        <v>12555000</v>
      </c>
      <c r="AC12" s="34">
        <f>J164</f>
        <v>16065000</v>
      </c>
      <c r="AD12" s="36">
        <f t="shared" si="4"/>
        <v>36180000</v>
      </c>
      <c r="AF12" s="34">
        <f>G183</f>
        <v>10080000</v>
      </c>
      <c r="AG12" s="34">
        <f>I201</f>
        <v>16740000</v>
      </c>
      <c r="AH12" s="34">
        <f>J219</f>
        <v>21420000</v>
      </c>
      <c r="AI12" s="36">
        <f t="shared" si="5"/>
        <v>48240000</v>
      </c>
      <c r="AK12" s="34">
        <f>G239</f>
        <v>12600000</v>
      </c>
      <c r="AL12" s="34">
        <f>I257</f>
        <v>20925000</v>
      </c>
      <c r="AM12" s="34">
        <f>J275</f>
        <v>26775000</v>
      </c>
      <c r="AN12" s="36">
        <f t="shared" si="6"/>
        <v>60300000</v>
      </c>
    </row>
    <row r="13" spans="1:40" ht="16.5" x14ac:dyDescent="0.3">
      <c r="A13" s="139"/>
      <c r="B13" s="142"/>
      <c r="C13" s="143">
        <f>C12*C5</f>
        <v>750000</v>
      </c>
      <c r="D13" s="143">
        <f t="shared" ref="D13:F13" si="8">D12*D5</f>
        <v>750000</v>
      </c>
      <c r="E13" s="143">
        <f t="shared" si="8"/>
        <v>750000</v>
      </c>
      <c r="F13" s="143">
        <f t="shared" si="8"/>
        <v>750000</v>
      </c>
      <c r="G13" s="143">
        <f>SUM(C13:F13)</f>
        <v>3000000</v>
      </c>
      <c r="Q13" s="34">
        <f>G17</f>
        <v>1938000</v>
      </c>
      <c r="R13" s="34">
        <f>I35</f>
        <v>3343500</v>
      </c>
      <c r="S13" s="34">
        <f>J53</f>
        <v>4226250</v>
      </c>
      <c r="T13" s="36">
        <f t="shared" si="2"/>
        <v>9507750</v>
      </c>
      <c r="V13" s="34">
        <f>G74</f>
        <v>3876000</v>
      </c>
      <c r="W13" s="34">
        <f>I92</f>
        <v>6687000</v>
      </c>
      <c r="X13" s="34">
        <f>J110</f>
        <v>8452500</v>
      </c>
      <c r="Y13" s="36">
        <f t="shared" si="3"/>
        <v>19015500</v>
      </c>
      <c r="AA13" s="34">
        <f>G130</f>
        <v>5814000</v>
      </c>
      <c r="AB13" s="34">
        <f>I148</f>
        <v>10030500</v>
      </c>
      <c r="AC13" s="34">
        <f>J166</f>
        <v>12678750</v>
      </c>
      <c r="AD13" s="36">
        <f t="shared" si="4"/>
        <v>28523250</v>
      </c>
      <c r="AF13" s="34">
        <f>G185</f>
        <v>7752000</v>
      </c>
      <c r="AG13" s="34">
        <f>I203</f>
        <v>13374000</v>
      </c>
      <c r="AH13" s="34">
        <f>J221</f>
        <v>16905000</v>
      </c>
      <c r="AI13" s="36">
        <f t="shared" si="5"/>
        <v>38031000</v>
      </c>
      <c r="AK13" s="34">
        <f>G241</f>
        <v>9690000</v>
      </c>
      <c r="AL13" s="34">
        <f>I259</f>
        <v>16717500</v>
      </c>
      <c r="AM13" s="34">
        <f>J277</f>
        <v>21131250</v>
      </c>
      <c r="AN13" s="36">
        <f t="shared" si="6"/>
        <v>47538750</v>
      </c>
    </row>
    <row r="14" spans="1:40" ht="16.5" x14ac:dyDescent="0.3">
      <c r="A14" s="139" t="s">
        <v>11</v>
      </c>
      <c r="B14" s="140" t="s">
        <v>19</v>
      </c>
      <c r="C14" s="141">
        <v>42000</v>
      </c>
      <c r="D14" s="141">
        <v>42000</v>
      </c>
      <c r="E14" s="141">
        <v>42000</v>
      </c>
      <c r="F14" s="141">
        <v>42000</v>
      </c>
      <c r="G14" s="141"/>
      <c r="Q14" s="34">
        <f>G19</f>
        <v>810000</v>
      </c>
      <c r="R14" s="34">
        <f>I37</f>
        <v>2052000</v>
      </c>
      <c r="S14" s="34">
        <f>J55</f>
        <v>3053250</v>
      </c>
      <c r="T14" s="36">
        <f t="shared" si="2"/>
        <v>5915250</v>
      </c>
      <c r="V14" s="34">
        <f>G76</f>
        <v>1620000</v>
      </c>
      <c r="W14" s="34">
        <f>I94</f>
        <v>4104000</v>
      </c>
      <c r="X14" s="34">
        <f>J112</f>
        <v>6106500</v>
      </c>
      <c r="Y14" s="36">
        <f t="shared" si="3"/>
        <v>11830500</v>
      </c>
      <c r="AA14" s="34">
        <f>G132</f>
        <v>2430000</v>
      </c>
      <c r="AB14" s="34">
        <f>I150</f>
        <v>6156000</v>
      </c>
      <c r="AC14" s="34">
        <f>J168</f>
        <v>9159750</v>
      </c>
      <c r="AD14" s="36">
        <f t="shared" si="4"/>
        <v>17745750</v>
      </c>
      <c r="AF14" s="34">
        <f>G187</f>
        <v>3240000</v>
      </c>
      <c r="AG14" s="34">
        <f>I205</f>
        <v>8208000</v>
      </c>
      <c r="AH14" s="34">
        <f>J223</f>
        <v>12213000</v>
      </c>
      <c r="AI14" s="36">
        <f t="shared" si="5"/>
        <v>23661000</v>
      </c>
      <c r="AK14" s="34">
        <f>G243</f>
        <v>4050000</v>
      </c>
      <c r="AL14" s="34">
        <f>I261</f>
        <v>10260000</v>
      </c>
      <c r="AM14" s="34">
        <f>J279</f>
        <v>15266250</v>
      </c>
      <c r="AN14" s="36">
        <f t="shared" si="6"/>
        <v>29576250</v>
      </c>
    </row>
    <row r="15" spans="1:40" ht="16.5" x14ac:dyDescent="0.3">
      <c r="A15" s="139"/>
      <c r="B15" s="142" t="s">
        <v>20</v>
      </c>
      <c r="C15" s="143">
        <f>C14*C5*3</f>
        <v>630000</v>
      </c>
      <c r="D15" s="143">
        <f t="shared" ref="D15:F15" si="9">D14*D5*3</f>
        <v>630000</v>
      </c>
      <c r="E15" s="143">
        <f t="shared" si="9"/>
        <v>630000</v>
      </c>
      <c r="F15" s="143">
        <f t="shared" si="9"/>
        <v>630000</v>
      </c>
      <c r="G15" s="143">
        <f>SUM(C15:F15)</f>
        <v>2520000</v>
      </c>
      <c r="Q15" s="34"/>
    </row>
    <row r="16" spans="1:40" ht="16.5" x14ac:dyDescent="0.3">
      <c r="A16" s="139" t="s">
        <v>12</v>
      </c>
      <c r="B16" s="140" t="s">
        <v>19</v>
      </c>
      <c r="C16" s="141">
        <v>32300</v>
      </c>
      <c r="D16" s="141">
        <v>32300</v>
      </c>
      <c r="E16" s="141">
        <v>32300</v>
      </c>
      <c r="F16" s="141">
        <v>32300</v>
      </c>
      <c r="G16" s="141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</row>
    <row r="17" spans="1:40" ht="16.5" x14ac:dyDescent="0.3">
      <c r="A17" s="139"/>
      <c r="B17" s="142" t="s">
        <v>20</v>
      </c>
      <c r="C17" s="143">
        <f>C16*C5*3</f>
        <v>484500</v>
      </c>
      <c r="D17" s="143">
        <f t="shared" ref="D17:F17" si="10">D16*D5*3</f>
        <v>484500</v>
      </c>
      <c r="E17" s="143">
        <f t="shared" si="10"/>
        <v>484500</v>
      </c>
      <c r="F17" s="143">
        <f t="shared" si="10"/>
        <v>484500</v>
      </c>
      <c r="G17" s="143">
        <f>SUM(C17:F17)</f>
        <v>1938000</v>
      </c>
      <c r="Q17" s="35"/>
    </row>
    <row r="18" spans="1:40" ht="16.5" x14ac:dyDescent="0.3">
      <c r="A18" s="139" t="s">
        <v>13</v>
      </c>
      <c r="B18" s="140" t="s">
        <v>19</v>
      </c>
      <c r="C18" s="141">
        <v>13500</v>
      </c>
      <c r="D18" s="141">
        <v>13500</v>
      </c>
      <c r="E18" s="141">
        <v>13500</v>
      </c>
      <c r="F18" s="141">
        <v>13500</v>
      </c>
      <c r="G18" s="141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</row>
    <row r="19" spans="1:40" ht="16.5" x14ac:dyDescent="0.3">
      <c r="A19" s="139"/>
      <c r="B19" s="142" t="s">
        <v>20</v>
      </c>
      <c r="C19" s="143">
        <f>C18*C5*3</f>
        <v>202500</v>
      </c>
      <c r="D19" s="143">
        <f t="shared" ref="D19:F19" si="11">D18*D5*3</f>
        <v>202500</v>
      </c>
      <c r="E19" s="143">
        <f t="shared" si="11"/>
        <v>202500</v>
      </c>
      <c r="F19" s="143">
        <f t="shared" si="11"/>
        <v>202500</v>
      </c>
      <c r="G19" s="143">
        <f>SUM(C19:F19)</f>
        <v>810000</v>
      </c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</row>
    <row r="20" spans="1:40" x14ac:dyDescent="0.25"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</row>
    <row r="21" spans="1:40" x14ac:dyDescent="0.25">
      <c r="I21" s="144" t="s">
        <v>27</v>
      </c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</row>
    <row r="22" spans="1:40" x14ac:dyDescent="0.25">
      <c r="A22" s="138" t="s">
        <v>38</v>
      </c>
      <c r="C22" s="144" t="s">
        <v>0</v>
      </c>
      <c r="D22" s="144" t="s">
        <v>1</v>
      </c>
      <c r="E22" s="144" t="s">
        <v>2</v>
      </c>
      <c r="F22" s="144" t="s">
        <v>3</v>
      </c>
      <c r="G22" s="144" t="s">
        <v>4</v>
      </c>
      <c r="H22" s="144" t="s">
        <v>28</v>
      </c>
      <c r="I22" s="144" t="s">
        <v>26</v>
      </c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</row>
    <row r="23" spans="1:40" ht="16.5" x14ac:dyDescent="0.3">
      <c r="A23" s="139" t="s">
        <v>18</v>
      </c>
      <c r="B23" s="140"/>
      <c r="C23" s="140">
        <v>5</v>
      </c>
      <c r="D23" s="140">
        <v>5</v>
      </c>
      <c r="E23" s="140">
        <v>5</v>
      </c>
      <c r="F23" s="140">
        <v>5</v>
      </c>
      <c r="G23" s="140">
        <v>5</v>
      </c>
      <c r="H23" s="140">
        <v>5</v>
      </c>
      <c r="I23" s="140">
        <f>SUM(C23:H23)</f>
        <v>30</v>
      </c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</row>
    <row r="24" spans="1:40" ht="16.5" x14ac:dyDescent="0.3">
      <c r="A24" s="139" t="s">
        <v>7</v>
      </c>
      <c r="B24" s="140" t="s">
        <v>19</v>
      </c>
      <c r="C24" s="140">
        <v>135000</v>
      </c>
      <c r="D24" s="140">
        <v>168200</v>
      </c>
      <c r="E24" s="140">
        <v>215300</v>
      </c>
      <c r="F24" s="140">
        <v>215300</v>
      </c>
      <c r="G24" s="140">
        <v>215300</v>
      </c>
      <c r="H24" s="140">
        <v>234000</v>
      </c>
      <c r="I24" s="140"/>
    </row>
    <row r="25" spans="1:40" ht="16.5" x14ac:dyDescent="0.3">
      <c r="A25" s="139"/>
      <c r="B25" s="142" t="s">
        <v>20</v>
      </c>
      <c r="C25" s="143">
        <f>C23*C24*3</f>
        <v>2025000</v>
      </c>
      <c r="D25" s="143">
        <f t="shared" ref="D25:H25" si="12">D23*D24*3</f>
        <v>2523000</v>
      </c>
      <c r="E25" s="143">
        <f t="shared" si="12"/>
        <v>3229500</v>
      </c>
      <c r="F25" s="143">
        <f t="shared" si="12"/>
        <v>3229500</v>
      </c>
      <c r="G25" s="143">
        <f t="shared" si="12"/>
        <v>3229500</v>
      </c>
      <c r="H25" s="143">
        <f t="shared" si="12"/>
        <v>3510000</v>
      </c>
      <c r="I25" s="145">
        <f>SUM(C25:H25)</f>
        <v>17746500</v>
      </c>
    </row>
    <row r="26" spans="1:40" ht="16.5" x14ac:dyDescent="0.3">
      <c r="A26" s="139" t="s">
        <v>8</v>
      </c>
      <c r="B26" s="140"/>
      <c r="C26" s="140">
        <v>50000</v>
      </c>
      <c r="D26" s="140">
        <v>50000</v>
      </c>
      <c r="E26" s="140">
        <v>50000</v>
      </c>
      <c r="F26" s="140">
        <v>50000</v>
      </c>
      <c r="G26" s="140">
        <v>50000</v>
      </c>
      <c r="H26" s="140">
        <v>50000</v>
      </c>
      <c r="I26" s="140"/>
    </row>
    <row r="27" spans="1:40" ht="16.5" x14ac:dyDescent="0.3">
      <c r="A27" s="139"/>
      <c r="B27" s="142" t="s">
        <v>21</v>
      </c>
      <c r="C27" s="143">
        <f>C26*C23</f>
        <v>250000</v>
      </c>
      <c r="D27" s="143">
        <f t="shared" ref="D27:G27" si="13">D26*D23</f>
        <v>250000</v>
      </c>
      <c r="E27" s="143">
        <f t="shared" si="13"/>
        <v>250000</v>
      </c>
      <c r="F27" s="143">
        <f t="shared" si="13"/>
        <v>250000</v>
      </c>
      <c r="G27" s="143">
        <f t="shared" si="13"/>
        <v>250000</v>
      </c>
      <c r="H27" s="143">
        <f>H26*H23</f>
        <v>250000</v>
      </c>
      <c r="I27" s="145">
        <f>SUM(C27:H27)</f>
        <v>1500000</v>
      </c>
    </row>
    <row r="28" spans="1:40" ht="16.5" x14ac:dyDescent="0.3">
      <c r="A28" s="139" t="s">
        <v>10</v>
      </c>
      <c r="B28" s="140"/>
      <c r="C28" s="140">
        <v>70000</v>
      </c>
      <c r="D28" s="140">
        <v>70000</v>
      </c>
      <c r="E28" s="140">
        <v>70000</v>
      </c>
      <c r="F28" s="140">
        <v>70000</v>
      </c>
      <c r="G28" s="140">
        <v>70000</v>
      </c>
      <c r="H28" s="140">
        <v>70000</v>
      </c>
      <c r="I28" s="140"/>
    </row>
    <row r="29" spans="1:40" ht="16.5" x14ac:dyDescent="0.3">
      <c r="A29" s="139"/>
      <c r="B29" s="142" t="s">
        <v>21</v>
      </c>
      <c r="C29" s="143">
        <f>C28*C23</f>
        <v>350000</v>
      </c>
      <c r="D29" s="143">
        <f t="shared" ref="D29:H29" si="14">D28*D23</f>
        <v>350000</v>
      </c>
      <c r="E29" s="143">
        <f t="shared" si="14"/>
        <v>350000</v>
      </c>
      <c r="F29" s="143">
        <f t="shared" si="14"/>
        <v>350000</v>
      </c>
      <c r="G29" s="143">
        <f t="shared" si="14"/>
        <v>350000</v>
      </c>
      <c r="H29" s="143">
        <f t="shared" si="14"/>
        <v>350000</v>
      </c>
      <c r="I29" s="145">
        <f>SUM(C29:H29)</f>
        <v>2100000</v>
      </c>
    </row>
    <row r="30" spans="1:40" ht="16.5" x14ac:dyDescent="0.3">
      <c r="A30" s="139" t="s">
        <v>9</v>
      </c>
      <c r="B30" s="140"/>
      <c r="C30" s="140">
        <v>150000</v>
      </c>
      <c r="D30" s="140">
        <v>150000</v>
      </c>
      <c r="E30" s="140">
        <v>150000</v>
      </c>
      <c r="F30" s="140">
        <v>150000</v>
      </c>
      <c r="G30" s="140">
        <v>150000</v>
      </c>
      <c r="H30" s="140">
        <v>150000</v>
      </c>
      <c r="I30" s="140"/>
    </row>
    <row r="31" spans="1:40" ht="16.5" x14ac:dyDescent="0.3">
      <c r="A31" s="139"/>
      <c r="B31" s="142"/>
      <c r="C31" s="143">
        <f>C30*C23</f>
        <v>750000</v>
      </c>
      <c r="D31" s="143">
        <f t="shared" ref="D31:H31" si="15">D30*D23</f>
        <v>750000</v>
      </c>
      <c r="E31" s="143">
        <f t="shared" si="15"/>
        <v>750000</v>
      </c>
      <c r="F31" s="143">
        <f t="shared" si="15"/>
        <v>750000</v>
      </c>
      <c r="G31" s="143">
        <f t="shared" si="15"/>
        <v>750000</v>
      </c>
      <c r="H31" s="143">
        <f t="shared" si="15"/>
        <v>750000</v>
      </c>
      <c r="I31" s="145">
        <f>SUM(C31:H31)</f>
        <v>4500000</v>
      </c>
    </row>
    <row r="32" spans="1:40" ht="16.5" x14ac:dyDescent="0.3">
      <c r="A32" s="139" t="s">
        <v>11</v>
      </c>
      <c r="B32" s="140" t="s">
        <v>19</v>
      </c>
      <c r="C32" s="140">
        <v>46500</v>
      </c>
      <c r="D32" s="140">
        <v>46500</v>
      </c>
      <c r="E32" s="140">
        <v>46500</v>
      </c>
      <c r="F32" s="140">
        <v>46500</v>
      </c>
      <c r="G32" s="140">
        <v>46500</v>
      </c>
      <c r="H32" s="140">
        <v>46500</v>
      </c>
      <c r="I32" s="140"/>
    </row>
    <row r="33" spans="1:10" ht="16.5" x14ac:dyDescent="0.3">
      <c r="A33" s="139"/>
      <c r="B33" s="142" t="s">
        <v>20</v>
      </c>
      <c r="C33" s="143">
        <f>C32*C23*3</f>
        <v>697500</v>
      </c>
      <c r="D33" s="143">
        <f t="shared" ref="D33:H33" si="16">D32*D23*3</f>
        <v>697500</v>
      </c>
      <c r="E33" s="143">
        <f t="shared" si="16"/>
        <v>697500</v>
      </c>
      <c r="F33" s="143">
        <f t="shared" si="16"/>
        <v>697500</v>
      </c>
      <c r="G33" s="143">
        <f t="shared" si="16"/>
        <v>697500</v>
      </c>
      <c r="H33" s="143">
        <f t="shared" si="16"/>
        <v>697500</v>
      </c>
      <c r="I33" s="145">
        <f>SUM(C33:H33)</f>
        <v>4185000</v>
      </c>
    </row>
    <row r="34" spans="1:10" ht="16.5" x14ac:dyDescent="0.3">
      <c r="A34" s="139" t="s">
        <v>12</v>
      </c>
      <c r="B34" s="140" t="s">
        <v>19</v>
      </c>
      <c r="C34" s="140">
        <v>37150</v>
      </c>
      <c r="D34" s="140">
        <v>37150</v>
      </c>
      <c r="E34" s="140">
        <v>37150</v>
      </c>
      <c r="F34" s="140">
        <v>37150</v>
      </c>
      <c r="G34" s="140">
        <v>37150</v>
      </c>
      <c r="H34" s="140">
        <v>37150</v>
      </c>
      <c r="I34" s="140"/>
    </row>
    <row r="35" spans="1:10" ht="16.5" x14ac:dyDescent="0.3">
      <c r="A35" s="139"/>
      <c r="B35" s="142" t="s">
        <v>20</v>
      </c>
      <c r="C35" s="143">
        <f>C34*C23*3</f>
        <v>557250</v>
      </c>
      <c r="D35" s="143">
        <f t="shared" ref="D35:H35" si="17">D34*D23*3</f>
        <v>557250</v>
      </c>
      <c r="E35" s="143">
        <f t="shared" si="17"/>
        <v>557250</v>
      </c>
      <c r="F35" s="143">
        <f t="shared" si="17"/>
        <v>557250</v>
      </c>
      <c r="G35" s="143">
        <f t="shared" si="17"/>
        <v>557250</v>
      </c>
      <c r="H35" s="143">
        <f t="shared" si="17"/>
        <v>557250</v>
      </c>
      <c r="I35" s="145">
        <f>SUM(C35:H35)</f>
        <v>3343500</v>
      </c>
    </row>
    <row r="36" spans="1:10" ht="16.5" x14ac:dyDescent="0.3">
      <c r="A36" s="139" t="s">
        <v>13</v>
      </c>
      <c r="B36" s="140" t="s">
        <v>19</v>
      </c>
      <c r="C36" s="140">
        <v>21450</v>
      </c>
      <c r="D36" s="140">
        <v>21450</v>
      </c>
      <c r="E36" s="140">
        <v>21450</v>
      </c>
      <c r="F36" s="140">
        <v>24150</v>
      </c>
      <c r="G36" s="140">
        <v>24150</v>
      </c>
      <c r="H36" s="140">
        <v>24150</v>
      </c>
      <c r="I36" s="140"/>
    </row>
    <row r="37" spans="1:10" ht="16.5" x14ac:dyDescent="0.3">
      <c r="A37" s="139"/>
      <c r="B37" s="142" t="s">
        <v>20</v>
      </c>
      <c r="C37" s="143">
        <f>C36*C23*3</f>
        <v>321750</v>
      </c>
      <c r="D37" s="143">
        <f t="shared" ref="D37:H37" si="18">D36*D23*3</f>
        <v>321750</v>
      </c>
      <c r="E37" s="143">
        <f t="shared" si="18"/>
        <v>321750</v>
      </c>
      <c r="F37" s="143">
        <f t="shared" si="18"/>
        <v>362250</v>
      </c>
      <c r="G37" s="143">
        <f t="shared" si="18"/>
        <v>362250</v>
      </c>
      <c r="H37" s="143">
        <f t="shared" si="18"/>
        <v>362250</v>
      </c>
      <c r="I37" s="145">
        <f>SUM(C37:H37)</f>
        <v>2052000</v>
      </c>
    </row>
    <row r="39" spans="1:10" x14ac:dyDescent="0.25">
      <c r="J39" s="144" t="s">
        <v>27</v>
      </c>
    </row>
    <row r="40" spans="1:10" x14ac:dyDescent="0.25">
      <c r="A40" s="138" t="s">
        <v>37</v>
      </c>
      <c r="C40" s="144" t="s">
        <v>29</v>
      </c>
      <c r="D40" s="144" t="s">
        <v>30</v>
      </c>
      <c r="E40" s="144" t="s">
        <v>31</v>
      </c>
      <c r="F40" s="144" t="s">
        <v>32</v>
      </c>
      <c r="G40" s="144" t="s">
        <v>33</v>
      </c>
      <c r="H40" s="144" t="s">
        <v>34</v>
      </c>
      <c r="I40" s="144" t="s">
        <v>35</v>
      </c>
      <c r="J40" s="144" t="s">
        <v>26</v>
      </c>
    </row>
    <row r="41" spans="1:10" ht="16.5" x14ac:dyDescent="0.3">
      <c r="A41" s="139" t="s">
        <v>18</v>
      </c>
      <c r="B41" s="140"/>
      <c r="C41" s="140">
        <v>5</v>
      </c>
      <c r="D41" s="140">
        <v>5</v>
      </c>
      <c r="E41" s="140">
        <v>5</v>
      </c>
      <c r="F41" s="140">
        <v>5</v>
      </c>
      <c r="G41" s="140">
        <v>5</v>
      </c>
      <c r="H41" s="140">
        <v>5</v>
      </c>
      <c r="I41" s="140">
        <v>5</v>
      </c>
      <c r="J41" s="140">
        <f>SUM(C41:I41)</f>
        <v>35</v>
      </c>
    </row>
    <row r="42" spans="1:10" ht="16.5" x14ac:dyDescent="0.3">
      <c r="A42" s="139" t="s">
        <v>7</v>
      </c>
      <c r="B42" s="140" t="s">
        <v>19</v>
      </c>
      <c r="C42" s="140">
        <v>268100</v>
      </c>
      <c r="D42" s="140">
        <v>318100</v>
      </c>
      <c r="E42" s="140">
        <v>318100</v>
      </c>
      <c r="F42" s="140">
        <v>318100</v>
      </c>
      <c r="G42" s="140">
        <v>436600</v>
      </c>
      <c r="H42" s="140">
        <v>512300</v>
      </c>
      <c r="I42" s="140">
        <v>512300</v>
      </c>
      <c r="J42" s="140"/>
    </row>
    <row r="43" spans="1:10" ht="16.5" x14ac:dyDescent="0.3">
      <c r="A43" s="139"/>
      <c r="B43" s="142" t="s">
        <v>20</v>
      </c>
      <c r="C43" s="143">
        <f>C41*C42*3</f>
        <v>4021500</v>
      </c>
      <c r="D43" s="143">
        <f t="shared" ref="D43:I43" si="19">D41*D42*3</f>
        <v>4771500</v>
      </c>
      <c r="E43" s="143">
        <f t="shared" si="19"/>
        <v>4771500</v>
      </c>
      <c r="F43" s="143">
        <f t="shared" si="19"/>
        <v>4771500</v>
      </c>
      <c r="G43" s="143">
        <f t="shared" si="19"/>
        <v>6549000</v>
      </c>
      <c r="H43" s="143">
        <f t="shared" si="19"/>
        <v>7684500</v>
      </c>
      <c r="I43" s="143">
        <f t="shared" si="19"/>
        <v>7684500</v>
      </c>
      <c r="J43" s="145">
        <f>SUM(C43:I43)</f>
        <v>40254000</v>
      </c>
    </row>
    <row r="44" spans="1:10" ht="16.5" x14ac:dyDescent="0.3">
      <c r="A44" s="139" t="s">
        <v>8</v>
      </c>
      <c r="B44" s="140"/>
      <c r="C44" s="140">
        <v>50000</v>
      </c>
      <c r="D44" s="140">
        <v>50000</v>
      </c>
      <c r="E44" s="140">
        <v>50000</v>
      </c>
      <c r="F44" s="140">
        <v>50000</v>
      </c>
      <c r="G44" s="140">
        <v>50000</v>
      </c>
      <c r="H44" s="140">
        <v>50000</v>
      </c>
      <c r="I44" s="140">
        <v>50000</v>
      </c>
      <c r="J44" s="140"/>
    </row>
    <row r="45" spans="1:10" ht="16.5" x14ac:dyDescent="0.3">
      <c r="A45" s="139"/>
      <c r="B45" s="142" t="s">
        <v>21</v>
      </c>
      <c r="C45" s="143">
        <f>C44*C41</f>
        <v>250000</v>
      </c>
      <c r="D45" s="143">
        <f t="shared" ref="D45:I45" si="20">D44*D41</f>
        <v>250000</v>
      </c>
      <c r="E45" s="143">
        <f t="shared" si="20"/>
        <v>250000</v>
      </c>
      <c r="F45" s="143">
        <f t="shared" si="20"/>
        <v>250000</v>
      </c>
      <c r="G45" s="143">
        <f t="shared" si="20"/>
        <v>250000</v>
      </c>
      <c r="H45" s="143">
        <f t="shared" si="20"/>
        <v>250000</v>
      </c>
      <c r="I45" s="143">
        <f t="shared" si="20"/>
        <v>250000</v>
      </c>
      <c r="J45" s="145">
        <f>SUM(C45:I45)</f>
        <v>1750000</v>
      </c>
    </row>
    <row r="46" spans="1:10" ht="16.5" x14ac:dyDescent="0.3">
      <c r="A46" s="139" t="s">
        <v>10</v>
      </c>
      <c r="B46" s="140"/>
      <c r="C46" s="140">
        <v>70000</v>
      </c>
      <c r="D46" s="140">
        <v>70000</v>
      </c>
      <c r="E46" s="140">
        <v>70000</v>
      </c>
      <c r="F46" s="140">
        <v>70000</v>
      </c>
      <c r="G46" s="140">
        <v>70000</v>
      </c>
      <c r="H46" s="140">
        <v>70000</v>
      </c>
      <c r="I46" s="140">
        <v>70000</v>
      </c>
      <c r="J46" s="140"/>
    </row>
    <row r="47" spans="1:10" ht="16.5" x14ac:dyDescent="0.3">
      <c r="A47" s="139"/>
      <c r="B47" s="142" t="s">
        <v>21</v>
      </c>
      <c r="C47" s="143">
        <f>C46*C41</f>
        <v>350000</v>
      </c>
      <c r="D47" s="143">
        <f t="shared" ref="D47:I47" si="21">D46*D41</f>
        <v>350000</v>
      </c>
      <c r="E47" s="143">
        <f t="shared" si="21"/>
        <v>350000</v>
      </c>
      <c r="F47" s="143">
        <f t="shared" si="21"/>
        <v>350000</v>
      </c>
      <c r="G47" s="143">
        <f t="shared" si="21"/>
        <v>350000</v>
      </c>
      <c r="H47" s="143">
        <f t="shared" si="21"/>
        <v>350000</v>
      </c>
      <c r="I47" s="143">
        <f t="shared" si="21"/>
        <v>350000</v>
      </c>
      <c r="J47" s="145">
        <f>SUM(C47:I47)</f>
        <v>2450000</v>
      </c>
    </row>
    <row r="48" spans="1:10" ht="16.5" x14ac:dyDescent="0.3">
      <c r="A48" s="139" t="s">
        <v>9</v>
      </c>
      <c r="B48" s="140"/>
      <c r="C48" s="140">
        <v>150000</v>
      </c>
      <c r="D48" s="140">
        <v>150000</v>
      </c>
      <c r="E48" s="140">
        <v>150000</v>
      </c>
      <c r="F48" s="140">
        <v>150000</v>
      </c>
      <c r="G48" s="140">
        <v>150000</v>
      </c>
      <c r="H48" s="140">
        <v>150000</v>
      </c>
      <c r="I48" s="140">
        <v>150000</v>
      </c>
      <c r="J48" s="140"/>
    </row>
    <row r="49" spans="1:10" ht="16.5" x14ac:dyDescent="0.3">
      <c r="A49" s="139"/>
      <c r="B49" s="142"/>
      <c r="C49" s="143">
        <f>C48*C41</f>
        <v>750000</v>
      </c>
      <c r="D49" s="143">
        <f t="shared" ref="D49:I49" si="22">D48*D41</f>
        <v>750000</v>
      </c>
      <c r="E49" s="143">
        <f t="shared" si="22"/>
        <v>750000</v>
      </c>
      <c r="F49" s="143">
        <f t="shared" si="22"/>
        <v>750000</v>
      </c>
      <c r="G49" s="143">
        <f t="shared" si="22"/>
        <v>750000</v>
      </c>
      <c r="H49" s="143">
        <f t="shared" si="22"/>
        <v>750000</v>
      </c>
      <c r="I49" s="143">
        <f t="shared" si="22"/>
        <v>750000</v>
      </c>
      <c r="J49" s="145">
        <f>SUM(C49:I49)</f>
        <v>5250000</v>
      </c>
    </row>
    <row r="50" spans="1:10" ht="16.5" x14ac:dyDescent="0.3">
      <c r="A50" s="139" t="s">
        <v>11</v>
      </c>
      <c r="B50" s="140" t="s">
        <v>19</v>
      </c>
      <c r="C50" s="140">
        <v>51000</v>
      </c>
      <c r="D50" s="140">
        <v>51000</v>
      </c>
      <c r="E50" s="140">
        <v>51000</v>
      </c>
      <c r="F50" s="140">
        <v>51000</v>
      </c>
      <c r="G50" s="140">
        <v>51000</v>
      </c>
      <c r="H50" s="140">
        <v>51000</v>
      </c>
      <c r="I50" s="140">
        <v>51000</v>
      </c>
      <c r="J50" s="140"/>
    </row>
    <row r="51" spans="1:10" ht="16.5" x14ac:dyDescent="0.3">
      <c r="A51" s="139"/>
      <c r="B51" s="142" t="s">
        <v>20</v>
      </c>
      <c r="C51" s="143">
        <f>C50*C41*3</f>
        <v>765000</v>
      </c>
      <c r="D51" s="143">
        <f t="shared" ref="D51:I51" si="23">D50*D41*3</f>
        <v>765000</v>
      </c>
      <c r="E51" s="143">
        <f t="shared" si="23"/>
        <v>765000</v>
      </c>
      <c r="F51" s="143">
        <f t="shared" si="23"/>
        <v>765000</v>
      </c>
      <c r="G51" s="143">
        <f t="shared" si="23"/>
        <v>765000</v>
      </c>
      <c r="H51" s="143">
        <f t="shared" si="23"/>
        <v>765000</v>
      </c>
      <c r="I51" s="143">
        <f t="shared" si="23"/>
        <v>765000</v>
      </c>
      <c r="J51" s="145">
        <f>SUM(C51:I51)</f>
        <v>5355000</v>
      </c>
    </row>
    <row r="52" spans="1:10" ht="16.5" x14ac:dyDescent="0.3">
      <c r="A52" s="139" t="s">
        <v>12</v>
      </c>
      <c r="B52" s="140" t="s">
        <v>19</v>
      </c>
      <c r="C52" s="140">
        <v>40250</v>
      </c>
      <c r="D52" s="140">
        <v>40250</v>
      </c>
      <c r="E52" s="140">
        <v>40250</v>
      </c>
      <c r="F52" s="140">
        <v>40250</v>
      </c>
      <c r="G52" s="140">
        <v>40250</v>
      </c>
      <c r="H52" s="140">
        <v>40250</v>
      </c>
      <c r="I52" s="140">
        <v>40250</v>
      </c>
      <c r="J52" s="140"/>
    </row>
    <row r="53" spans="1:10" ht="16.5" x14ac:dyDescent="0.3">
      <c r="A53" s="139"/>
      <c r="B53" s="142" t="s">
        <v>20</v>
      </c>
      <c r="C53" s="143">
        <f>C52*C41*3</f>
        <v>603750</v>
      </c>
      <c r="D53" s="143">
        <f t="shared" ref="D53:I53" si="24">D52*D41*3</f>
        <v>603750</v>
      </c>
      <c r="E53" s="143">
        <f t="shared" si="24"/>
        <v>603750</v>
      </c>
      <c r="F53" s="143">
        <f t="shared" si="24"/>
        <v>603750</v>
      </c>
      <c r="G53" s="143">
        <f t="shared" si="24"/>
        <v>603750</v>
      </c>
      <c r="H53" s="143">
        <f t="shared" si="24"/>
        <v>603750</v>
      </c>
      <c r="I53" s="143">
        <f t="shared" si="24"/>
        <v>603750</v>
      </c>
      <c r="J53" s="145">
        <f>SUM(C53:I53)</f>
        <v>4226250</v>
      </c>
    </row>
    <row r="54" spans="1:10" ht="16.5" x14ac:dyDescent="0.3">
      <c r="A54" s="139" t="s">
        <v>13</v>
      </c>
      <c r="B54" s="140" t="s">
        <v>19</v>
      </c>
      <c r="C54" s="140">
        <v>27600</v>
      </c>
      <c r="D54" s="140">
        <v>27600</v>
      </c>
      <c r="E54" s="140">
        <v>27600</v>
      </c>
      <c r="F54" s="140">
        <v>27600</v>
      </c>
      <c r="G54" s="140">
        <v>31050</v>
      </c>
      <c r="H54" s="140">
        <v>31050</v>
      </c>
      <c r="I54" s="140">
        <v>31050</v>
      </c>
      <c r="J54" s="140"/>
    </row>
    <row r="55" spans="1:10" ht="16.5" x14ac:dyDescent="0.3">
      <c r="A55" s="139"/>
      <c r="B55" s="142" t="s">
        <v>20</v>
      </c>
      <c r="C55" s="143">
        <f>C54*C41*3</f>
        <v>414000</v>
      </c>
      <c r="D55" s="143">
        <f t="shared" ref="D55:I55" si="25">D54*D41*3</f>
        <v>414000</v>
      </c>
      <c r="E55" s="143">
        <f t="shared" si="25"/>
        <v>414000</v>
      </c>
      <c r="F55" s="143">
        <f t="shared" si="25"/>
        <v>414000</v>
      </c>
      <c r="G55" s="143">
        <f t="shared" si="25"/>
        <v>465750</v>
      </c>
      <c r="H55" s="143">
        <f t="shared" si="25"/>
        <v>465750</v>
      </c>
      <c r="I55" s="143">
        <f t="shared" si="25"/>
        <v>465750</v>
      </c>
      <c r="J55" s="145">
        <f>SUM(C55:I55)</f>
        <v>3053250</v>
      </c>
    </row>
    <row r="59" spans="1:10" x14ac:dyDescent="0.25">
      <c r="B59" s="203" t="s">
        <v>1</v>
      </c>
      <c r="C59" s="203"/>
      <c r="D59" s="203"/>
      <c r="E59" s="203"/>
    </row>
    <row r="60" spans="1:10" x14ac:dyDescent="0.25">
      <c r="G60" s="137" t="s">
        <v>27</v>
      </c>
    </row>
    <row r="61" spans="1:10" x14ac:dyDescent="0.25">
      <c r="A61" s="138" t="s">
        <v>36</v>
      </c>
      <c r="C61" s="137" t="s">
        <v>22</v>
      </c>
      <c r="D61" s="137" t="s">
        <v>23</v>
      </c>
      <c r="E61" s="137" t="s">
        <v>24</v>
      </c>
      <c r="F61" s="137" t="s">
        <v>25</v>
      </c>
      <c r="G61" s="137" t="s">
        <v>26</v>
      </c>
    </row>
    <row r="62" spans="1:10" ht="16.5" x14ac:dyDescent="0.3">
      <c r="A62" s="139" t="s">
        <v>18</v>
      </c>
      <c r="B62" s="140"/>
      <c r="C62" s="140">
        <v>10</v>
      </c>
      <c r="D62" s="140">
        <v>10</v>
      </c>
      <c r="E62" s="140">
        <v>10</v>
      </c>
      <c r="F62" s="140">
        <v>10</v>
      </c>
      <c r="G62" s="140">
        <f>SUM(C62:F62)</f>
        <v>40</v>
      </c>
    </row>
    <row r="63" spans="1:10" ht="16.5" x14ac:dyDescent="0.3">
      <c r="A63" s="139" t="s">
        <v>7</v>
      </c>
      <c r="B63" s="140" t="s">
        <v>19</v>
      </c>
      <c r="C63" s="141">
        <v>80010</v>
      </c>
      <c r="D63" s="141">
        <v>103110</v>
      </c>
      <c r="E63" s="141">
        <v>104055</v>
      </c>
      <c r="F63" s="141">
        <v>121013</v>
      </c>
      <c r="G63" s="141"/>
    </row>
    <row r="64" spans="1:10" ht="16.5" x14ac:dyDescent="0.3">
      <c r="A64" s="139"/>
      <c r="B64" s="142" t="s">
        <v>20</v>
      </c>
      <c r="C64" s="143">
        <f>C62*C63*3</f>
        <v>2400300</v>
      </c>
      <c r="D64" s="143">
        <f t="shared" ref="D64" si="26">D62*D63*3</f>
        <v>3093300</v>
      </c>
      <c r="E64" s="143">
        <f t="shared" ref="E64" si="27">E62*E63*3</f>
        <v>3121650</v>
      </c>
      <c r="F64" s="143">
        <f t="shared" ref="F64" si="28">F62*F63*3</f>
        <v>3630390</v>
      </c>
      <c r="G64" s="143">
        <f>SUM(C64:F64)</f>
        <v>12245640</v>
      </c>
    </row>
    <row r="65" spans="1:9" ht="16.5" x14ac:dyDescent="0.3">
      <c r="A65" s="139" t="s">
        <v>8</v>
      </c>
      <c r="B65" s="140"/>
      <c r="C65" s="141">
        <v>50000</v>
      </c>
      <c r="D65" s="141">
        <v>50000</v>
      </c>
      <c r="E65" s="141">
        <v>50000</v>
      </c>
      <c r="F65" s="141">
        <v>50000</v>
      </c>
      <c r="G65" s="141"/>
    </row>
    <row r="66" spans="1:9" ht="16.5" x14ac:dyDescent="0.3">
      <c r="A66" s="139"/>
      <c r="B66" s="142" t="s">
        <v>21</v>
      </c>
      <c r="C66" s="143">
        <f>C65*C62</f>
        <v>500000</v>
      </c>
      <c r="D66" s="143">
        <f t="shared" ref="D66" si="29">D65*D62</f>
        <v>500000</v>
      </c>
      <c r="E66" s="143">
        <f t="shared" ref="E66" si="30">E65*E62</f>
        <v>500000</v>
      </c>
      <c r="F66" s="143">
        <f t="shared" ref="F66" si="31">F65*F62</f>
        <v>500000</v>
      </c>
      <c r="G66" s="143">
        <f>SUM(C66:F66)</f>
        <v>2000000</v>
      </c>
    </row>
    <row r="67" spans="1:9" ht="16.5" x14ac:dyDescent="0.3">
      <c r="A67" s="139" t="s">
        <v>10</v>
      </c>
      <c r="B67" s="140"/>
      <c r="C67" s="141">
        <v>70000</v>
      </c>
      <c r="D67" s="141">
        <v>70000</v>
      </c>
      <c r="E67" s="141">
        <v>70000</v>
      </c>
      <c r="F67" s="141">
        <v>70000</v>
      </c>
      <c r="G67" s="141"/>
    </row>
    <row r="68" spans="1:9" ht="16.5" x14ac:dyDescent="0.3">
      <c r="A68" s="139"/>
      <c r="B68" s="142" t="s">
        <v>21</v>
      </c>
      <c r="C68" s="143">
        <f>C67*C62</f>
        <v>700000</v>
      </c>
      <c r="D68" s="143">
        <f t="shared" ref="D68" si="32">D67*D62</f>
        <v>700000</v>
      </c>
      <c r="E68" s="143">
        <f t="shared" ref="E68" si="33">E67*E62</f>
        <v>700000</v>
      </c>
      <c r="F68" s="143">
        <f t="shared" ref="F68" si="34">F67*F62</f>
        <v>700000</v>
      </c>
      <c r="G68" s="143">
        <f>SUM(C68:F68)</f>
        <v>2800000</v>
      </c>
    </row>
    <row r="69" spans="1:9" ht="16.5" x14ac:dyDescent="0.3">
      <c r="A69" s="139" t="s">
        <v>9</v>
      </c>
      <c r="B69" s="140"/>
      <c r="C69" s="141">
        <v>150000</v>
      </c>
      <c r="D69" s="141">
        <v>150000</v>
      </c>
      <c r="E69" s="141">
        <v>150000</v>
      </c>
      <c r="F69" s="141">
        <v>150000</v>
      </c>
      <c r="G69" s="141"/>
    </row>
    <row r="70" spans="1:9" ht="16.5" x14ac:dyDescent="0.3">
      <c r="A70" s="139"/>
      <c r="B70" s="142"/>
      <c r="C70" s="143">
        <f>C69*C62</f>
        <v>1500000</v>
      </c>
      <c r="D70" s="143">
        <f t="shared" ref="D70" si="35">D69*D62</f>
        <v>1500000</v>
      </c>
      <c r="E70" s="143">
        <f t="shared" ref="E70" si="36">E69*E62</f>
        <v>1500000</v>
      </c>
      <c r="F70" s="143">
        <f t="shared" ref="F70" si="37">F69*F62</f>
        <v>1500000</v>
      </c>
      <c r="G70" s="143">
        <f>SUM(C70:F70)</f>
        <v>6000000</v>
      </c>
    </row>
    <row r="71" spans="1:9" ht="16.5" x14ac:dyDescent="0.3">
      <c r="A71" s="139" t="s">
        <v>11</v>
      </c>
      <c r="B71" s="140" t="s">
        <v>19</v>
      </c>
      <c r="C71" s="141">
        <v>54375</v>
      </c>
      <c r="D71" s="141">
        <v>54375</v>
      </c>
      <c r="E71" s="141">
        <v>54375</v>
      </c>
      <c r="F71" s="141">
        <v>54375</v>
      </c>
      <c r="G71" s="141"/>
    </row>
    <row r="72" spans="1:9" ht="16.5" x14ac:dyDescent="0.3">
      <c r="A72" s="139"/>
      <c r="B72" s="142" t="s">
        <v>20</v>
      </c>
      <c r="C72" s="143">
        <f>C71*C62*3</f>
        <v>1631250</v>
      </c>
      <c r="D72" s="143">
        <f t="shared" ref="D72" si="38">D71*D62*3</f>
        <v>1631250</v>
      </c>
      <c r="E72" s="143">
        <f t="shared" ref="E72" si="39">E71*E62*3</f>
        <v>1631250</v>
      </c>
      <c r="F72" s="143">
        <f t="shared" ref="F72" si="40">F71*F62*3</f>
        <v>1631250</v>
      </c>
      <c r="G72" s="143">
        <f>SUM(C72:F72)</f>
        <v>6525000</v>
      </c>
    </row>
    <row r="73" spans="1:9" ht="16.5" x14ac:dyDescent="0.3">
      <c r="A73" s="139" t="s">
        <v>12</v>
      </c>
      <c r="B73" s="140" t="s">
        <v>19</v>
      </c>
      <c r="C73" s="141">
        <v>32300</v>
      </c>
      <c r="D73" s="141">
        <v>32300</v>
      </c>
      <c r="E73" s="141">
        <v>32300</v>
      </c>
      <c r="F73" s="141">
        <v>32300</v>
      </c>
      <c r="G73" s="141"/>
    </row>
    <row r="74" spans="1:9" ht="16.5" x14ac:dyDescent="0.3">
      <c r="A74" s="139"/>
      <c r="B74" s="142" t="s">
        <v>20</v>
      </c>
      <c r="C74" s="143">
        <f>C73*C62*3</f>
        <v>969000</v>
      </c>
      <c r="D74" s="143">
        <f t="shared" ref="D74" si="41">D73*D62*3</f>
        <v>969000</v>
      </c>
      <c r="E74" s="143">
        <f t="shared" ref="E74" si="42">E73*E62*3</f>
        <v>969000</v>
      </c>
      <c r="F74" s="143">
        <f t="shared" ref="F74" si="43">F73*F62*3</f>
        <v>969000</v>
      </c>
      <c r="G74" s="143">
        <f>SUM(C74:F74)</f>
        <v>3876000</v>
      </c>
    </row>
    <row r="75" spans="1:9" ht="16.5" x14ac:dyDescent="0.3">
      <c r="A75" s="139" t="s">
        <v>13</v>
      </c>
      <c r="B75" s="140" t="s">
        <v>19</v>
      </c>
      <c r="C75" s="141">
        <v>13500</v>
      </c>
      <c r="D75" s="141">
        <v>13500</v>
      </c>
      <c r="E75" s="141">
        <v>13500</v>
      </c>
      <c r="F75" s="141">
        <v>13500</v>
      </c>
      <c r="G75" s="141"/>
    </row>
    <row r="76" spans="1:9" ht="16.5" x14ac:dyDescent="0.3">
      <c r="A76" s="139"/>
      <c r="B76" s="142" t="s">
        <v>20</v>
      </c>
      <c r="C76" s="143">
        <f>C75*C62*3</f>
        <v>405000</v>
      </c>
      <c r="D76" s="143">
        <f t="shared" ref="D76" si="44">D75*D62*3</f>
        <v>405000</v>
      </c>
      <c r="E76" s="143">
        <f t="shared" ref="E76" si="45">E75*E62*3</f>
        <v>405000</v>
      </c>
      <c r="F76" s="143">
        <f t="shared" ref="F76" si="46">F75*F62*3</f>
        <v>405000</v>
      </c>
      <c r="G76" s="143">
        <f>SUM(C76:F76)</f>
        <v>1620000</v>
      </c>
    </row>
    <row r="78" spans="1:9" x14ac:dyDescent="0.25">
      <c r="I78" s="144" t="s">
        <v>27</v>
      </c>
    </row>
    <row r="79" spans="1:9" x14ac:dyDescent="0.25">
      <c r="A79" s="138" t="s">
        <v>38</v>
      </c>
      <c r="C79" s="144" t="s">
        <v>0</v>
      </c>
      <c r="D79" s="144" t="s">
        <v>1</v>
      </c>
      <c r="E79" s="144" t="s">
        <v>2</v>
      </c>
      <c r="F79" s="144" t="s">
        <v>3</v>
      </c>
      <c r="G79" s="144" t="s">
        <v>4</v>
      </c>
      <c r="H79" s="144" t="s">
        <v>28</v>
      </c>
      <c r="I79" s="144" t="s">
        <v>26</v>
      </c>
    </row>
    <row r="80" spans="1:9" ht="16.5" x14ac:dyDescent="0.3">
      <c r="A80" s="139" t="s">
        <v>18</v>
      </c>
      <c r="B80" s="140"/>
      <c r="C80" s="140">
        <v>10</v>
      </c>
      <c r="D80" s="140">
        <v>10</v>
      </c>
      <c r="E80" s="140">
        <v>10</v>
      </c>
      <c r="F80" s="140">
        <v>10</v>
      </c>
      <c r="G80" s="140">
        <v>10</v>
      </c>
      <c r="H80" s="140">
        <v>10</v>
      </c>
      <c r="I80" s="140">
        <f>SUM(C80:H80)</f>
        <v>60</v>
      </c>
    </row>
    <row r="81" spans="1:10" ht="16.5" x14ac:dyDescent="0.3">
      <c r="A81" s="139" t="s">
        <v>7</v>
      </c>
      <c r="B81" s="140" t="s">
        <v>19</v>
      </c>
      <c r="C81" s="140">
        <v>141750</v>
      </c>
      <c r="D81" s="140">
        <v>176610</v>
      </c>
      <c r="E81" s="140">
        <v>226065</v>
      </c>
      <c r="F81" s="140">
        <v>226065</v>
      </c>
      <c r="G81" s="140">
        <v>226065</v>
      </c>
      <c r="H81" s="140">
        <v>245700</v>
      </c>
      <c r="I81" s="140"/>
    </row>
    <row r="82" spans="1:10" ht="16.5" x14ac:dyDescent="0.3">
      <c r="A82" s="139"/>
      <c r="B82" s="142" t="s">
        <v>20</v>
      </c>
      <c r="C82" s="143">
        <f>C80*C81*3</f>
        <v>4252500</v>
      </c>
      <c r="D82" s="143">
        <f t="shared" ref="D82" si="47">D80*D81*3</f>
        <v>5298300</v>
      </c>
      <c r="E82" s="143">
        <f t="shared" ref="E82" si="48">E80*E81*3</f>
        <v>6781950</v>
      </c>
      <c r="F82" s="143">
        <f t="shared" ref="F82" si="49">F80*F81*3</f>
        <v>6781950</v>
      </c>
      <c r="G82" s="143">
        <f t="shared" ref="G82" si="50">G80*G81*3</f>
        <v>6781950</v>
      </c>
      <c r="H82" s="143">
        <f t="shared" ref="H82" si="51">H80*H81*3</f>
        <v>7371000</v>
      </c>
      <c r="I82" s="145">
        <f>SUM(C82:H82)</f>
        <v>37267650</v>
      </c>
    </row>
    <row r="83" spans="1:10" ht="16.5" x14ac:dyDescent="0.3">
      <c r="A83" s="139" t="s">
        <v>8</v>
      </c>
      <c r="B83" s="140"/>
      <c r="C83" s="140">
        <v>50000</v>
      </c>
      <c r="D83" s="140">
        <v>50000</v>
      </c>
      <c r="E83" s="140">
        <v>50000</v>
      </c>
      <c r="F83" s="140">
        <v>50000</v>
      </c>
      <c r="G83" s="140">
        <v>50000</v>
      </c>
      <c r="H83" s="140">
        <v>50000</v>
      </c>
      <c r="I83" s="140"/>
    </row>
    <row r="84" spans="1:10" ht="16.5" x14ac:dyDescent="0.3">
      <c r="A84" s="139"/>
      <c r="B84" s="142" t="s">
        <v>21</v>
      </c>
      <c r="C84" s="143">
        <f>C83*C80</f>
        <v>500000</v>
      </c>
      <c r="D84" s="143">
        <f t="shared" ref="D84" si="52">D83*D80</f>
        <v>500000</v>
      </c>
      <c r="E84" s="143">
        <f t="shared" ref="E84" si="53">E83*E80</f>
        <v>500000</v>
      </c>
      <c r="F84" s="143">
        <f t="shared" ref="F84" si="54">F83*F80</f>
        <v>500000</v>
      </c>
      <c r="G84" s="143">
        <f t="shared" ref="G84" si="55">G83*G80</f>
        <v>500000</v>
      </c>
      <c r="H84" s="143">
        <f>H83*H80</f>
        <v>500000</v>
      </c>
      <c r="I84" s="145">
        <f>SUM(C84:H84)</f>
        <v>3000000</v>
      </c>
    </row>
    <row r="85" spans="1:10" ht="16.5" x14ac:dyDescent="0.3">
      <c r="A85" s="139" t="s">
        <v>10</v>
      </c>
      <c r="B85" s="140"/>
      <c r="C85" s="140">
        <v>70000</v>
      </c>
      <c r="D85" s="140">
        <v>70000</v>
      </c>
      <c r="E85" s="140">
        <v>70000</v>
      </c>
      <c r="F85" s="140">
        <v>70000</v>
      </c>
      <c r="G85" s="140">
        <v>70000</v>
      </c>
      <c r="H85" s="140">
        <v>70000</v>
      </c>
      <c r="I85" s="140"/>
    </row>
    <row r="86" spans="1:10" ht="16.5" x14ac:dyDescent="0.3">
      <c r="A86" s="139"/>
      <c r="B86" s="142" t="s">
        <v>21</v>
      </c>
      <c r="C86" s="143">
        <f>C85*C80</f>
        <v>700000</v>
      </c>
      <c r="D86" s="143">
        <f t="shared" ref="D86" si="56">D85*D80</f>
        <v>700000</v>
      </c>
      <c r="E86" s="143">
        <f t="shared" ref="E86" si="57">E85*E80</f>
        <v>700000</v>
      </c>
      <c r="F86" s="143">
        <f t="shared" ref="F86" si="58">F85*F80</f>
        <v>700000</v>
      </c>
      <c r="G86" s="143">
        <f t="shared" ref="G86" si="59">G85*G80</f>
        <v>700000</v>
      </c>
      <c r="H86" s="143">
        <f t="shared" ref="H86" si="60">H85*H80</f>
        <v>700000</v>
      </c>
      <c r="I86" s="145">
        <f>SUM(C86:H86)</f>
        <v>4200000</v>
      </c>
    </row>
    <row r="87" spans="1:10" ht="16.5" x14ac:dyDescent="0.3">
      <c r="A87" s="139" t="s">
        <v>9</v>
      </c>
      <c r="B87" s="140"/>
      <c r="C87" s="140">
        <v>150000</v>
      </c>
      <c r="D87" s="140">
        <v>150000</v>
      </c>
      <c r="E87" s="140">
        <v>150000</v>
      </c>
      <c r="F87" s="140">
        <v>150000</v>
      </c>
      <c r="G87" s="140">
        <v>150000</v>
      </c>
      <c r="H87" s="140">
        <v>150000</v>
      </c>
      <c r="I87" s="140"/>
    </row>
    <row r="88" spans="1:10" ht="16.5" x14ac:dyDescent="0.3">
      <c r="A88" s="139"/>
      <c r="B88" s="142"/>
      <c r="C88" s="143">
        <f>C87*C80</f>
        <v>1500000</v>
      </c>
      <c r="D88" s="143">
        <f t="shared" ref="D88" si="61">D87*D80</f>
        <v>1500000</v>
      </c>
      <c r="E88" s="143">
        <f t="shared" ref="E88" si="62">E87*E80</f>
        <v>1500000</v>
      </c>
      <c r="F88" s="143">
        <f t="shared" ref="F88" si="63">F87*F80</f>
        <v>1500000</v>
      </c>
      <c r="G88" s="143">
        <f t="shared" ref="G88" si="64">G87*G80</f>
        <v>1500000</v>
      </c>
      <c r="H88" s="143">
        <f t="shared" ref="H88" si="65">H87*H80</f>
        <v>1500000</v>
      </c>
      <c r="I88" s="145">
        <f>SUM(C88:H88)</f>
        <v>9000000</v>
      </c>
    </row>
    <row r="89" spans="1:10" ht="16.5" x14ac:dyDescent="0.3">
      <c r="A89" s="139" t="s">
        <v>11</v>
      </c>
      <c r="B89" s="140" t="s">
        <v>19</v>
      </c>
      <c r="C89" s="140">
        <v>46500</v>
      </c>
      <c r="D89" s="140">
        <v>46500</v>
      </c>
      <c r="E89" s="140">
        <v>46500</v>
      </c>
      <c r="F89" s="140">
        <v>46500</v>
      </c>
      <c r="G89" s="140">
        <v>46500</v>
      </c>
      <c r="H89" s="140">
        <v>46500</v>
      </c>
      <c r="I89" s="140"/>
    </row>
    <row r="90" spans="1:10" ht="16.5" x14ac:dyDescent="0.3">
      <c r="A90" s="139"/>
      <c r="B90" s="142" t="s">
        <v>20</v>
      </c>
      <c r="C90" s="143">
        <f>C89*C80*3</f>
        <v>1395000</v>
      </c>
      <c r="D90" s="143">
        <f t="shared" ref="D90" si="66">D89*D80*3</f>
        <v>1395000</v>
      </c>
      <c r="E90" s="143">
        <f t="shared" ref="E90" si="67">E89*E80*3</f>
        <v>1395000</v>
      </c>
      <c r="F90" s="143">
        <f t="shared" ref="F90" si="68">F89*F80*3</f>
        <v>1395000</v>
      </c>
      <c r="G90" s="143">
        <f t="shared" ref="G90" si="69">G89*G80*3</f>
        <v>1395000</v>
      </c>
      <c r="H90" s="143">
        <f t="shared" ref="H90" si="70">H89*H80*3</f>
        <v>1395000</v>
      </c>
      <c r="I90" s="145">
        <f>SUM(C90:H90)</f>
        <v>8370000</v>
      </c>
    </row>
    <row r="91" spans="1:10" ht="16.5" x14ac:dyDescent="0.3">
      <c r="A91" s="139" t="s">
        <v>12</v>
      </c>
      <c r="B91" s="140" t="s">
        <v>19</v>
      </c>
      <c r="C91" s="140">
        <v>37150</v>
      </c>
      <c r="D91" s="140">
        <v>37150</v>
      </c>
      <c r="E91" s="140">
        <v>37150</v>
      </c>
      <c r="F91" s="140">
        <v>37150</v>
      </c>
      <c r="G91" s="140">
        <v>37150</v>
      </c>
      <c r="H91" s="140">
        <v>37150</v>
      </c>
      <c r="I91" s="140"/>
    </row>
    <row r="92" spans="1:10" ht="16.5" x14ac:dyDescent="0.3">
      <c r="A92" s="139"/>
      <c r="B92" s="142" t="s">
        <v>20</v>
      </c>
      <c r="C92" s="143">
        <f>C91*C80*3</f>
        <v>1114500</v>
      </c>
      <c r="D92" s="143">
        <f t="shared" ref="D92" si="71">D91*D80*3</f>
        <v>1114500</v>
      </c>
      <c r="E92" s="143">
        <f t="shared" ref="E92" si="72">E91*E80*3</f>
        <v>1114500</v>
      </c>
      <c r="F92" s="143">
        <f t="shared" ref="F92" si="73">F91*F80*3</f>
        <v>1114500</v>
      </c>
      <c r="G92" s="143">
        <f t="shared" ref="G92" si="74">G91*G80*3</f>
        <v>1114500</v>
      </c>
      <c r="H92" s="143">
        <f t="shared" ref="H92" si="75">H91*H80*3</f>
        <v>1114500</v>
      </c>
      <c r="I92" s="145">
        <f>SUM(C92:H92)</f>
        <v>6687000</v>
      </c>
    </row>
    <row r="93" spans="1:10" ht="16.5" x14ac:dyDescent="0.3">
      <c r="A93" s="139" t="s">
        <v>13</v>
      </c>
      <c r="B93" s="140" t="s">
        <v>19</v>
      </c>
      <c r="C93" s="140">
        <v>21450</v>
      </c>
      <c r="D93" s="140">
        <v>21450</v>
      </c>
      <c r="E93" s="140">
        <v>21450</v>
      </c>
      <c r="F93" s="140">
        <v>24150</v>
      </c>
      <c r="G93" s="140">
        <v>24150</v>
      </c>
      <c r="H93" s="140">
        <v>24150</v>
      </c>
      <c r="I93" s="140"/>
    </row>
    <row r="94" spans="1:10" ht="16.5" x14ac:dyDescent="0.3">
      <c r="A94" s="139"/>
      <c r="B94" s="142" t="s">
        <v>20</v>
      </c>
      <c r="C94" s="143">
        <f>C93*C80*3</f>
        <v>643500</v>
      </c>
      <c r="D94" s="143">
        <f t="shared" ref="D94" si="76">D93*D80*3</f>
        <v>643500</v>
      </c>
      <c r="E94" s="143">
        <f t="shared" ref="E94" si="77">E93*E80*3</f>
        <v>643500</v>
      </c>
      <c r="F94" s="143">
        <f t="shared" ref="F94" si="78">F93*F80*3</f>
        <v>724500</v>
      </c>
      <c r="G94" s="143">
        <f t="shared" ref="G94" si="79">G93*G80*3</f>
        <v>724500</v>
      </c>
      <c r="H94" s="143">
        <f t="shared" ref="H94" si="80">H93*H80*3</f>
        <v>724500</v>
      </c>
      <c r="I94" s="145">
        <f>SUM(C94:H94)</f>
        <v>4104000</v>
      </c>
    </row>
    <row r="96" spans="1:10" x14ac:dyDescent="0.25">
      <c r="J96" s="144" t="s">
        <v>27</v>
      </c>
    </row>
    <row r="97" spans="1:10" x14ac:dyDescent="0.25">
      <c r="A97" s="138" t="s">
        <v>37</v>
      </c>
      <c r="C97" s="144" t="s">
        <v>29</v>
      </c>
      <c r="D97" s="144" t="s">
        <v>30</v>
      </c>
      <c r="E97" s="144" t="s">
        <v>31</v>
      </c>
      <c r="F97" s="144" t="s">
        <v>32</v>
      </c>
      <c r="G97" s="144" t="s">
        <v>33</v>
      </c>
      <c r="H97" s="144" t="s">
        <v>34</v>
      </c>
      <c r="I97" s="144" t="s">
        <v>35</v>
      </c>
      <c r="J97" s="144" t="s">
        <v>26</v>
      </c>
    </row>
    <row r="98" spans="1:10" ht="16.5" x14ac:dyDescent="0.3">
      <c r="A98" s="139" t="s">
        <v>18</v>
      </c>
      <c r="B98" s="140"/>
      <c r="C98" s="140">
        <v>10</v>
      </c>
      <c r="D98" s="140">
        <v>10</v>
      </c>
      <c r="E98" s="140">
        <v>10</v>
      </c>
      <c r="F98" s="140">
        <v>10</v>
      </c>
      <c r="G98" s="140">
        <v>10</v>
      </c>
      <c r="H98" s="140">
        <v>10</v>
      </c>
      <c r="I98" s="140">
        <v>10</v>
      </c>
      <c r="J98" s="140">
        <f>SUM(C98:I98)</f>
        <v>70</v>
      </c>
    </row>
    <row r="99" spans="1:10" ht="16.5" x14ac:dyDescent="0.3">
      <c r="A99" s="139" t="s">
        <v>7</v>
      </c>
      <c r="B99" s="140" t="s">
        <v>19</v>
      </c>
      <c r="C99" s="140">
        <v>281505</v>
      </c>
      <c r="D99" s="140">
        <v>334005</v>
      </c>
      <c r="E99" s="140">
        <v>334005</v>
      </c>
      <c r="F99" s="140">
        <v>334005</v>
      </c>
      <c r="G99" s="140">
        <v>458430</v>
      </c>
      <c r="H99" s="140">
        <v>537915</v>
      </c>
      <c r="I99" s="140">
        <v>537915</v>
      </c>
      <c r="J99" s="140"/>
    </row>
    <row r="100" spans="1:10" ht="16.5" x14ac:dyDescent="0.3">
      <c r="A100" s="139"/>
      <c r="B100" s="142" t="s">
        <v>20</v>
      </c>
      <c r="C100" s="143">
        <f>C98*C99*3</f>
        <v>8445150</v>
      </c>
      <c r="D100" s="143">
        <f t="shared" ref="D100" si="81">D98*D99*3</f>
        <v>10020150</v>
      </c>
      <c r="E100" s="143">
        <f t="shared" ref="E100" si="82">E98*E99*3</f>
        <v>10020150</v>
      </c>
      <c r="F100" s="143">
        <f t="shared" ref="F100" si="83">F98*F99*3</f>
        <v>10020150</v>
      </c>
      <c r="G100" s="143">
        <f t="shared" ref="G100" si="84">G98*G99*3</f>
        <v>13752900</v>
      </c>
      <c r="H100" s="143">
        <f t="shared" ref="H100" si="85">H98*H99*3</f>
        <v>16137450</v>
      </c>
      <c r="I100" s="143">
        <f t="shared" ref="I100" si="86">I98*I99*3</f>
        <v>16137450</v>
      </c>
      <c r="J100" s="145">
        <f>SUM(C100:I100)</f>
        <v>84533400</v>
      </c>
    </row>
    <row r="101" spans="1:10" ht="16.5" x14ac:dyDescent="0.3">
      <c r="A101" s="139" t="s">
        <v>8</v>
      </c>
      <c r="B101" s="140"/>
      <c r="C101" s="140">
        <v>50000</v>
      </c>
      <c r="D101" s="140">
        <v>50000</v>
      </c>
      <c r="E101" s="140">
        <v>50000</v>
      </c>
      <c r="F101" s="140">
        <v>50000</v>
      </c>
      <c r="G101" s="140">
        <v>50000</v>
      </c>
      <c r="H101" s="140">
        <v>50000</v>
      </c>
      <c r="I101" s="140">
        <v>50000</v>
      </c>
      <c r="J101" s="140"/>
    </row>
    <row r="102" spans="1:10" ht="16.5" x14ac:dyDescent="0.3">
      <c r="A102" s="139"/>
      <c r="B102" s="142" t="s">
        <v>21</v>
      </c>
      <c r="C102" s="143">
        <f>C101*C98</f>
        <v>500000</v>
      </c>
      <c r="D102" s="143">
        <f t="shared" ref="D102" si="87">D101*D98</f>
        <v>500000</v>
      </c>
      <c r="E102" s="143">
        <f t="shared" ref="E102" si="88">E101*E98</f>
        <v>500000</v>
      </c>
      <c r="F102" s="143">
        <f t="shared" ref="F102" si="89">F101*F98</f>
        <v>500000</v>
      </c>
      <c r="G102" s="143">
        <f t="shared" ref="G102" si="90">G101*G98</f>
        <v>500000</v>
      </c>
      <c r="H102" s="143">
        <f t="shared" ref="H102" si="91">H101*H98</f>
        <v>500000</v>
      </c>
      <c r="I102" s="143">
        <f t="shared" ref="I102" si="92">I101*I98</f>
        <v>500000</v>
      </c>
      <c r="J102" s="145">
        <f>SUM(C102:I102)</f>
        <v>3500000</v>
      </c>
    </row>
    <row r="103" spans="1:10" ht="16.5" x14ac:dyDescent="0.3">
      <c r="A103" s="139" t="s">
        <v>10</v>
      </c>
      <c r="B103" s="140"/>
      <c r="C103" s="140">
        <v>70000</v>
      </c>
      <c r="D103" s="140">
        <v>70000</v>
      </c>
      <c r="E103" s="140">
        <v>70000</v>
      </c>
      <c r="F103" s="140">
        <v>70000</v>
      </c>
      <c r="G103" s="140">
        <v>70000</v>
      </c>
      <c r="H103" s="140">
        <v>70000</v>
      </c>
      <c r="I103" s="140">
        <v>70000</v>
      </c>
      <c r="J103" s="140"/>
    </row>
    <row r="104" spans="1:10" ht="16.5" x14ac:dyDescent="0.3">
      <c r="A104" s="139"/>
      <c r="B104" s="142" t="s">
        <v>21</v>
      </c>
      <c r="C104" s="143">
        <f>C103*C98</f>
        <v>700000</v>
      </c>
      <c r="D104" s="143">
        <f t="shared" ref="D104" si="93">D103*D98</f>
        <v>700000</v>
      </c>
      <c r="E104" s="143">
        <f t="shared" ref="E104" si="94">E103*E98</f>
        <v>700000</v>
      </c>
      <c r="F104" s="143">
        <f t="shared" ref="F104" si="95">F103*F98</f>
        <v>700000</v>
      </c>
      <c r="G104" s="143">
        <f t="shared" ref="G104" si="96">G103*G98</f>
        <v>700000</v>
      </c>
      <c r="H104" s="143">
        <f t="shared" ref="H104" si="97">H103*H98</f>
        <v>700000</v>
      </c>
      <c r="I104" s="143">
        <f t="shared" ref="I104" si="98">I103*I98</f>
        <v>700000</v>
      </c>
      <c r="J104" s="145">
        <f>SUM(C104:I104)</f>
        <v>4900000</v>
      </c>
    </row>
    <row r="105" spans="1:10" ht="16.5" x14ac:dyDescent="0.3">
      <c r="A105" s="139" t="s">
        <v>9</v>
      </c>
      <c r="B105" s="140"/>
      <c r="C105" s="140">
        <v>150000</v>
      </c>
      <c r="D105" s="140">
        <v>150000</v>
      </c>
      <c r="E105" s="140">
        <v>150000</v>
      </c>
      <c r="F105" s="140">
        <v>150000</v>
      </c>
      <c r="G105" s="140">
        <v>150000</v>
      </c>
      <c r="H105" s="140">
        <v>150000</v>
      </c>
      <c r="I105" s="140">
        <v>150000</v>
      </c>
      <c r="J105" s="140"/>
    </row>
    <row r="106" spans="1:10" ht="16.5" x14ac:dyDescent="0.3">
      <c r="A106" s="139"/>
      <c r="B106" s="142"/>
      <c r="C106" s="143">
        <f>C105*C98</f>
        <v>1500000</v>
      </c>
      <c r="D106" s="143">
        <f t="shared" ref="D106" si="99">D105*D98</f>
        <v>1500000</v>
      </c>
      <c r="E106" s="143">
        <f t="shared" ref="E106" si="100">E105*E98</f>
        <v>1500000</v>
      </c>
      <c r="F106" s="143">
        <f t="shared" ref="F106" si="101">F105*F98</f>
        <v>1500000</v>
      </c>
      <c r="G106" s="143">
        <f t="shared" ref="G106" si="102">G105*G98</f>
        <v>1500000</v>
      </c>
      <c r="H106" s="143">
        <f t="shared" ref="H106" si="103">H105*H98</f>
        <v>1500000</v>
      </c>
      <c r="I106" s="143">
        <f t="shared" ref="I106" si="104">I105*I98</f>
        <v>1500000</v>
      </c>
      <c r="J106" s="145">
        <f>SUM(C106:I106)</f>
        <v>10500000</v>
      </c>
    </row>
    <row r="107" spans="1:10" ht="16.5" x14ac:dyDescent="0.3">
      <c r="A107" s="139" t="s">
        <v>11</v>
      </c>
      <c r="B107" s="140" t="s">
        <v>19</v>
      </c>
      <c r="C107" s="140">
        <v>51000</v>
      </c>
      <c r="D107" s="140">
        <v>51000</v>
      </c>
      <c r="E107" s="140">
        <v>51000</v>
      </c>
      <c r="F107" s="140">
        <v>51000</v>
      </c>
      <c r="G107" s="140">
        <v>51000</v>
      </c>
      <c r="H107" s="140">
        <v>51000</v>
      </c>
      <c r="I107" s="140">
        <v>51000</v>
      </c>
      <c r="J107" s="140"/>
    </row>
    <row r="108" spans="1:10" ht="16.5" x14ac:dyDescent="0.3">
      <c r="A108" s="139"/>
      <c r="B108" s="142" t="s">
        <v>20</v>
      </c>
      <c r="C108" s="143">
        <f>C107*C98*3</f>
        <v>1530000</v>
      </c>
      <c r="D108" s="143">
        <f t="shared" ref="D108" si="105">D107*D98*3</f>
        <v>1530000</v>
      </c>
      <c r="E108" s="143">
        <f t="shared" ref="E108" si="106">E107*E98*3</f>
        <v>1530000</v>
      </c>
      <c r="F108" s="143">
        <f t="shared" ref="F108" si="107">F107*F98*3</f>
        <v>1530000</v>
      </c>
      <c r="G108" s="143">
        <f t="shared" ref="G108" si="108">G107*G98*3</f>
        <v>1530000</v>
      </c>
      <c r="H108" s="143">
        <f t="shared" ref="H108" si="109">H107*H98*3</f>
        <v>1530000</v>
      </c>
      <c r="I108" s="143">
        <f t="shared" ref="I108" si="110">I107*I98*3</f>
        <v>1530000</v>
      </c>
      <c r="J108" s="145">
        <f>SUM(C108:I108)</f>
        <v>10710000</v>
      </c>
    </row>
    <row r="109" spans="1:10" ht="16.5" x14ac:dyDescent="0.3">
      <c r="A109" s="139" t="s">
        <v>12</v>
      </c>
      <c r="B109" s="140" t="s">
        <v>19</v>
      </c>
      <c r="C109" s="140">
        <v>40250</v>
      </c>
      <c r="D109" s="140">
        <v>40250</v>
      </c>
      <c r="E109" s="140">
        <v>40250</v>
      </c>
      <c r="F109" s="140">
        <v>40250</v>
      </c>
      <c r="G109" s="140">
        <v>40250</v>
      </c>
      <c r="H109" s="140">
        <v>40250</v>
      </c>
      <c r="I109" s="140">
        <v>40250</v>
      </c>
      <c r="J109" s="140"/>
    </row>
    <row r="110" spans="1:10" ht="16.5" x14ac:dyDescent="0.3">
      <c r="A110" s="139"/>
      <c r="B110" s="142" t="s">
        <v>20</v>
      </c>
      <c r="C110" s="143">
        <f>C109*C98*3</f>
        <v>1207500</v>
      </c>
      <c r="D110" s="143">
        <f t="shared" ref="D110" si="111">D109*D98*3</f>
        <v>1207500</v>
      </c>
      <c r="E110" s="143">
        <f t="shared" ref="E110" si="112">E109*E98*3</f>
        <v>1207500</v>
      </c>
      <c r="F110" s="143">
        <f t="shared" ref="F110" si="113">F109*F98*3</f>
        <v>1207500</v>
      </c>
      <c r="G110" s="143">
        <f t="shared" ref="G110" si="114">G109*G98*3</f>
        <v>1207500</v>
      </c>
      <c r="H110" s="143">
        <f t="shared" ref="H110" si="115">H109*H98*3</f>
        <v>1207500</v>
      </c>
      <c r="I110" s="143">
        <f t="shared" ref="I110" si="116">I109*I98*3</f>
        <v>1207500</v>
      </c>
      <c r="J110" s="145">
        <f>SUM(C110:I110)</f>
        <v>8452500</v>
      </c>
    </row>
    <row r="111" spans="1:10" ht="16.5" x14ac:dyDescent="0.3">
      <c r="A111" s="139" t="s">
        <v>13</v>
      </c>
      <c r="B111" s="140" t="s">
        <v>19</v>
      </c>
      <c r="C111" s="140">
        <v>27600</v>
      </c>
      <c r="D111" s="140">
        <v>27600</v>
      </c>
      <c r="E111" s="140">
        <v>27600</v>
      </c>
      <c r="F111" s="140">
        <v>27600</v>
      </c>
      <c r="G111" s="140">
        <v>31050</v>
      </c>
      <c r="H111" s="140">
        <v>31050</v>
      </c>
      <c r="I111" s="140">
        <v>31050</v>
      </c>
      <c r="J111" s="140"/>
    </row>
    <row r="112" spans="1:10" ht="16.5" x14ac:dyDescent="0.3">
      <c r="A112" s="139"/>
      <c r="B112" s="142" t="s">
        <v>20</v>
      </c>
      <c r="C112" s="143">
        <f>C111*C98*3</f>
        <v>828000</v>
      </c>
      <c r="D112" s="143">
        <f t="shared" ref="D112" si="117">D111*D98*3</f>
        <v>828000</v>
      </c>
      <c r="E112" s="143">
        <f t="shared" ref="E112" si="118">E111*E98*3</f>
        <v>828000</v>
      </c>
      <c r="F112" s="143">
        <f t="shared" ref="F112" si="119">F111*F98*3</f>
        <v>828000</v>
      </c>
      <c r="G112" s="143">
        <f t="shared" ref="G112" si="120">G111*G98*3</f>
        <v>931500</v>
      </c>
      <c r="H112" s="143">
        <f t="shared" ref="H112" si="121">H111*H98*3</f>
        <v>931500</v>
      </c>
      <c r="I112" s="143">
        <f t="shared" ref="I112" si="122">I111*I98*3</f>
        <v>931500</v>
      </c>
      <c r="J112" s="145">
        <f>SUM(C112:I112)</f>
        <v>6106500</v>
      </c>
    </row>
    <row r="115" spans="1:7" x14ac:dyDescent="0.25">
      <c r="B115" s="203" t="s">
        <v>2</v>
      </c>
      <c r="C115" s="203"/>
      <c r="D115" s="203"/>
      <c r="E115" s="203"/>
    </row>
    <row r="116" spans="1:7" x14ac:dyDescent="0.25">
      <c r="G116" s="137" t="s">
        <v>27</v>
      </c>
    </row>
    <row r="117" spans="1:7" x14ac:dyDescent="0.25">
      <c r="A117" s="138" t="s">
        <v>36</v>
      </c>
      <c r="C117" s="137" t="s">
        <v>22</v>
      </c>
      <c r="D117" s="137" t="s">
        <v>23</v>
      </c>
      <c r="E117" s="137" t="s">
        <v>24</v>
      </c>
      <c r="F117" s="137" t="s">
        <v>25</v>
      </c>
      <c r="G117" s="137" t="s">
        <v>26</v>
      </c>
    </row>
    <row r="118" spans="1:7" ht="16.5" x14ac:dyDescent="0.3">
      <c r="A118" s="139" t="s">
        <v>18</v>
      </c>
      <c r="B118" s="140"/>
      <c r="C118" s="140">
        <v>15</v>
      </c>
      <c r="D118" s="140">
        <v>15</v>
      </c>
      <c r="E118" s="140">
        <v>15</v>
      </c>
      <c r="F118" s="140">
        <v>15</v>
      </c>
      <c r="G118" s="140">
        <f>SUM(C118:F118)</f>
        <v>60</v>
      </c>
    </row>
    <row r="119" spans="1:7" ht="16.5" x14ac:dyDescent="0.3">
      <c r="A119" s="139" t="s">
        <v>7</v>
      </c>
      <c r="B119" s="140" t="s">
        <v>19</v>
      </c>
      <c r="C119" s="141">
        <v>84011</v>
      </c>
      <c r="D119" s="141">
        <v>108266</v>
      </c>
      <c r="E119" s="141">
        <v>109258</v>
      </c>
      <c r="F119" s="141">
        <v>127063</v>
      </c>
      <c r="G119" s="141"/>
    </row>
    <row r="120" spans="1:7" ht="16.5" x14ac:dyDescent="0.3">
      <c r="A120" s="139"/>
      <c r="B120" s="142" t="s">
        <v>20</v>
      </c>
      <c r="C120" s="143">
        <f>C118*C119*3</f>
        <v>3780495</v>
      </c>
      <c r="D120" s="143">
        <f t="shared" ref="D120" si="123">D118*D119*3</f>
        <v>4871970</v>
      </c>
      <c r="E120" s="143">
        <f t="shared" ref="E120" si="124">E118*E119*3</f>
        <v>4916610</v>
      </c>
      <c r="F120" s="143">
        <f t="shared" ref="F120" si="125">F118*F119*3</f>
        <v>5717835</v>
      </c>
      <c r="G120" s="143">
        <f>SUM(C120:F120)</f>
        <v>19286910</v>
      </c>
    </row>
    <row r="121" spans="1:7" ht="16.5" x14ac:dyDescent="0.3">
      <c r="A121" s="139" t="s">
        <v>8</v>
      </c>
      <c r="B121" s="140"/>
      <c r="C121" s="141">
        <v>50000</v>
      </c>
      <c r="D121" s="141">
        <v>50000</v>
      </c>
      <c r="E121" s="141">
        <v>50000</v>
      </c>
      <c r="F121" s="141">
        <v>50000</v>
      </c>
      <c r="G121" s="141"/>
    </row>
    <row r="122" spans="1:7" ht="16.5" x14ac:dyDescent="0.3">
      <c r="A122" s="139"/>
      <c r="B122" s="142" t="s">
        <v>21</v>
      </c>
      <c r="C122" s="143">
        <f>C121*C118</f>
        <v>750000</v>
      </c>
      <c r="D122" s="143">
        <f t="shared" ref="D122" si="126">D121*D118</f>
        <v>750000</v>
      </c>
      <c r="E122" s="143">
        <f t="shared" ref="E122" si="127">E121*E118</f>
        <v>750000</v>
      </c>
      <c r="F122" s="143">
        <f t="shared" ref="F122" si="128">F121*F118</f>
        <v>750000</v>
      </c>
      <c r="G122" s="143">
        <f>SUM(C122:F122)</f>
        <v>3000000</v>
      </c>
    </row>
    <row r="123" spans="1:7" ht="16.5" x14ac:dyDescent="0.3">
      <c r="A123" s="139" t="s">
        <v>10</v>
      </c>
      <c r="B123" s="140"/>
      <c r="C123" s="141">
        <v>70000</v>
      </c>
      <c r="D123" s="141">
        <v>70000</v>
      </c>
      <c r="E123" s="141">
        <v>70000</v>
      </c>
      <c r="F123" s="141">
        <v>70000</v>
      </c>
      <c r="G123" s="141"/>
    </row>
    <row r="124" spans="1:7" ht="16.5" x14ac:dyDescent="0.3">
      <c r="A124" s="139"/>
      <c r="B124" s="142" t="s">
        <v>21</v>
      </c>
      <c r="C124" s="143">
        <f>C123*C118</f>
        <v>1050000</v>
      </c>
      <c r="D124" s="143">
        <f t="shared" ref="D124" si="129">D123*D118</f>
        <v>1050000</v>
      </c>
      <c r="E124" s="143">
        <f t="shared" ref="E124" si="130">E123*E118</f>
        <v>1050000</v>
      </c>
      <c r="F124" s="143">
        <f t="shared" ref="F124" si="131">F123*F118</f>
        <v>1050000</v>
      </c>
      <c r="G124" s="143">
        <f>SUM(C124:F124)</f>
        <v>4200000</v>
      </c>
    </row>
    <row r="125" spans="1:7" ht="16.5" x14ac:dyDescent="0.3">
      <c r="A125" s="139" t="s">
        <v>9</v>
      </c>
      <c r="B125" s="140"/>
      <c r="C125" s="141">
        <v>150000</v>
      </c>
      <c r="D125" s="141">
        <v>150000</v>
      </c>
      <c r="E125" s="141">
        <v>150000</v>
      </c>
      <c r="F125" s="141">
        <v>150000</v>
      </c>
      <c r="G125" s="141"/>
    </row>
    <row r="126" spans="1:7" ht="16.5" x14ac:dyDescent="0.3">
      <c r="A126" s="139"/>
      <c r="B126" s="142"/>
      <c r="C126" s="143">
        <f>C125*C118</f>
        <v>2250000</v>
      </c>
      <c r="D126" s="143">
        <f t="shared" ref="D126" si="132">D125*D118</f>
        <v>2250000</v>
      </c>
      <c r="E126" s="143">
        <f t="shared" ref="E126" si="133">E125*E118</f>
        <v>2250000</v>
      </c>
      <c r="F126" s="143">
        <f t="shared" ref="F126" si="134">F125*F118</f>
        <v>2250000</v>
      </c>
      <c r="G126" s="143">
        <f>SUM(C126:F126)</f>
        <v>9000000</v>
      </c>
    </row>
    <row r="127" spans="1:7" ht="16.5" x14ac:dyDescent="0.3">
      <c r="A127" s="139" t="s">
        <v>11</v>
      </c>
      <c r="B127" s="140" t="s">
        <v>19</v>
      </c>
      <c r="C127" s="141">
        <v>42000</v>
      </c>
      <c r="D127" s="141">
        <v>42000</v>
      </c>
      <c r="E127" s="141">
        <v>42000</v>
      </c>
      <c r="F127" s="141">
        <v>42000</v>
      </c>
      <c r="G127" s="141"/>
    </row>
    <row r="128" spans="1:7" ht="16.5" x14ac:dyDescent="0.3">
      <c r="A128" s="139"/>
      <c r="B128" s="142" t="s">
        <v>20</v>
      </c>
      <c r="C128" s="143">
        <f>C127*C118*3</f>
        <v>1890000</v>
      </c>
      <c r="D128" s="143">
        <f t="shared" ref="D128" si="135">D127*D118*3</f>
        <v>1890000</v>
      </c>
      <c r="E128" s="143">
        <f t="shared" ref="E128" si="136">E127*E118*3</f>
        <v>1890000</v>
      </c>
      <c r="F128" s="143">
        <f t="shared" ref="F128" si="137">F127*F118*3</f>
        <v>1890000</v>
      </c>
      <c r="G128" s="143">
        <f>SUM(C128:F128)</f>
        <v>7560000</v>
      </c>
    </row>
    <row r="129" spans="1:9" ht="16.5" x14ac:dyDescent="0.3">
      <c r="A129" s="139" t="s">
        <v>12</v>
      </c>
      <c r="B129" s="140" t="s">
        <v>19</v>
      </c>
      <c r="C129" s="141">
        <v>32300</v>
      </c>
      <c r="D129" s="141">
        <v>32300</v>
      </c>
      <c r="E129" s="141">
        <v>32300</v>
      </c>
      <c r="F129" s="141">
        <v>32300</v>
      </c>
      <c r="G129" s="141"/>
    </row>
    <row r="130" spans="1:9" ht="16.5" x14ac:dyDescent="0.3">
      <c r="A130" s="139"/>
      <c r="B130" s="142" t="s">
        <v>20</v>
      </c>
      <c r="C130" s="143">
        <f>C129*C118*3</f>
        <v>1453500</v>
      </c>
      <c r="D130" s="143">
        <f t="shared" ref="D130" si="138">D129*D118*3</f>
        <v>1453500</v>
      </c>
      <c r="E130" s="143">
        <f t="shared" ref="E130" si="139">E129*E118*3</f>
        <v>1453500</v>
      </c>
      <c r="F130" s="143">
        <f t="shared" ref="F130" si="140">F129*F118*3</f>
        <v>1453500</v>
      </c>
      <c r="G130" s="143">
        <f>SUM(C130:F130)</f>
        <v>5814000</v>
      </c>
    </row>
    <row r="131" spans="1:9" ht="16.5" x14ac:dyDescent="0.3">
      <c r="A131" s="139" t="s">
        <v>13</v>
      </c>
      <c r="B131" s="140" t="s">
        <v>19</v>
      </c>
      <c r="C131" s="141">
        <v>13500</v>
      </c>
      <c r="D131" s="141">
        <v>13500</v>
      </c>
      <c r="E131" s="141">
        <v>13500</v>
      </c>
      <c r="F131" s="141">
        <v>13500</v>
      </c>
      <c r="G131" s="141"/>
    </row>
    <row r="132" spans="1:9" ht="16.5" x14ac:dyDescent="0.3">
      <c r="A132" s="139"/>
      <c r="B132" s="142" t="s">
        <v>20</v>
      </c>
      <c r="C132" s="143">
        <f>C131*C118*3</f>
        <v>607500</v>
      </c>
      <c r="D132" s="143">
        <f t="shared" ref="D132" si="141">D131*D118*3</f>
        <v>607500</v>
      </c>
      <c r="E132" s="143">
        <f t="shared" ref="E132" si="142">E131*E118*3</f>
        <v>607500</v>
      </c>
      <c r="F132" s="143">
        <f t="shared" ref="F132" si="143">F131*F118*3</f>
        <v>607500</v>
      </c>
      <c r="G132" s="143">
        <f>SUM(C132:F132)</f>
        <v>2430000</v>
      </c>
    </row>
    <row r="134" spans="1:9" x14ac:dyDescent="0.25">
      <c r="I134" s="144" t="s">
        <v>27</v>
      </c>
    </row>
    <row r="135" spans="1:9" x14ac:dyDescent="0.25">
      <c r="A135" s="138" t="s">
        <v>38</v>
      </c>
      <c r="C135" s="144" t="s">
        <v>0</v>
      </c>
      <c r="D135" s="144" t="s">
        <v>1</v>
      </c>
      <c r="E135" s="144" t="s">
        <v>2</v>
      </c>
      <c r="F135" s="144" t="s">
        <v>3</v>
      </c>
      <c r="G135" s="144" t="s">
        <v>4</v>
      </c>
      <c r="H135" s="144" t="s">
        <v>28</v>
      </c>
      <c r="I135" s="144" t="s">
        <v>26</v>
      </c>
    </row>
    <row r="136" spans="1:9" ht="16.5" x14ac:dyDescent="0.3">
      <c r="A136" s="139" t="s">
        <v>18</v>
      </c>
      <c r="B136" s="140"/>
      <c r="C136" s="140">
        <v>15</v>
      </c>
      <c r="D136" s="140">
        <v>15</v>
      </c>
      <c r="E136" s="140">
        <v>15</v>
      </c>
      <c r="F136" s="140">
        <v>15</v>
      </c>
      <c r="G136" s="140">
        <v>15</v>
      </c>
      <c r="H136" s="140">
        <v>15</v>
      </c>
      <c r="I136" s="140">
        <f>SUM(C136:H136)</f>
        <v>90</v>
      </c>
    </row>
    <row r="137" spans="1:9" ht="16.5" x14ac:dyDescent="0.3">
      <c r="A137" s="139" t="s">
        <v>7</v>
      </c>
      <c r="B137" s="140" t="s">
        <v>19</v>
      </c>
      <c r="C137" s="140">
        <v>148838</v>
      </c>
      <c r="D137" s="140">
        <v>185441</v>
      </c>
      <c r="E137" s="140">
        <v>237368</v>
      </c>
      <c r="F137" s="140">
        <v>237368</v>
      </c>
      <c r="G137" s="140">
        <v>237368</v>
      </c>
      <c r="H137" s="140">
        <v>257985</v>
      </c>
      <c r="I137" s="140"/>
    </row>
    <row r="138" spans="1:9" ht="16.5" x14ac:dyDescent="0.3">
      <c r="A138" s="139"/>
      <c r="B138" s="142" t="s">
        <v>20</v>
      </c>
      <c r="C138" s="143">
        <f>C136*C137*3</f>
        <v>6697710</v>
      </c>
      <c r="D138" s="143">
        <f t="shared" ref="D138" si="144">D136*D137*3</f>
        <v>8344845</v>
      </c>
      <c r="E138" s="143">
        <f t="shared" ref="E138" si="145">E136*E137*3</f>
        <v>10681560</v>
      </c>
      <c r="F138" s="143">
        <f t="shared" ref="F138" si="146">F136*F137*3</f>
        <v>10681560</v>
      </c>
      <c r="G138" s="143">
        <f t="shared" ref="G138" si="147">G136*G137*3</f>
        <v>10681560</v>
      </c>
      <c r="H138" s="143">
        <f t="shared" ref="H138" si="148">H136*H137*3</f>
        <v>11609325</v>
      </c>
      <c r="I138" s="145">
        <f>SUM(C138:H138)</f>
        <v>58696560</v>
      </c>
    </row>
    <row r="139" spans="1:9" ht="16.5" x14ac:dyDescent="0.3">
      <c r="A139" s="139" t="s">
        <v>8</v>
      </c>
      <c r="B139" s="140"/>
      <c r="C139" s="140">
        <v>50000</v>
      </c>
      <c r="D139" s="140">
        <v>50000</v>
      </c>
      <c r="E139" s="140">
        <v>50000</v>
      </c>
      <c r="F139" s="140">
        <v>50000</v>
      </c>
      <c r="G139" s="140">
        <v>50000</v>
      </c>
      <c r="H139" s="140">
        <v>50000</v>
      </c>
      <c r="I139" s="140"/>
    </row>
    <row r="140" spans="1:9" ht="16.5" x14ac:dyDescent="0.3">
      <c r="A140" s="139"/>
      <c r="B140" s="142" t="s">
        <v>21</v>
      </c>
      <c r="C140" s="143">
        <f>C139*C136</f>
        <v>750000</v>
      </c>
      <c r="D140" s="143">
        <f t="shared" ref="D140" si="149">D139*D136</f>
        <v>750000</v>
      </c>
      <c r="E140" s="143">
        <f t="shared" ref="E140" si="150">E139*E136</f>
        <v>750000</v>
      </c>
      <c r="F140" s="143">
        <f t="shared" ref="F140" si="151">F139*F136</f>
        <v>750000</v>
      </c>
      <c r="G140" s="143">
        <f>G139*G136</f>
        <v>750000</v>
      </c>
      <c r="H140" s="143">
        <f>H139*H136</f>
        <v>750000</v>
      </c>
      <c r="I140" s="145">
        <f>SUM(C140:H140)</f>
        <v>4500000</v>
      </c>
    </row>
    <row r="141" spans="1:9" ht="16.5" x14ac:dyDescent="0.3">
      <c r="A141" s="139" t="s">
        <v>10</v>
      </c>
      <c r="B141" s="140"/>
      <c r="C141" s="140">
        <v>70000</v>
      </c>
      <c r="D141" s="140">
        <v>70000</v>
      </c>
      <c r="E141" s="140">
        <v>70000</v>
      </c>
      <c r="F141" s="140">
        <v>70000</v>
      </c>
      <c r="G141" s="140">
        <v>70000</v>
      </c>
      <c r="H141" s="140">
        <v>70000</v>
      </c>
      <c r="I141" s="140"/>
    </row>
    <row r="142" spans="1:9" ht="16.5" x14ac:dyDescent="0.3">
      <c r="A142" s="139"/>
      <c r="B142" s="142" t="s">
        <v>21</v>
      </c>
      <c r="C142" s="143">
        <f>C141*C136</f>
        <v>1050000</v>
      </c>
      <c r="D142" s="143">
        <f t="shared" ref="D142" si="152">D141*D136</f>
        <v>1050000</v>
      </c>
      <c r="E142" s="143">
        <f t="shared" ref="E142" si="153">E141*E136</f>
        <v>1050000</v>
      </c>
      <c r="F142" s="143">
        <f t="shared" ref="F142" si="154">F141*F136</f>
        <v>1050000</v>
      </c>
      <c r="G142" s="143">
        <f t="shared" ref="G142" si="155">G141*G136</f>
        <v>1050000</v>
      </c>
      <c r="H142" s="143">
        <f t="shared" ref="H142" si="156">H141*H136</f>
        <v>1050000</v>
      </c>
      <c r="I142" s="145">
        <f>SUM(C142:H142)</f>
        <v>6300000</v>
      </c>
    </row>
    <row r="143" spans="1:9" ht="16.5" x14ac:dyDescent="0.3">
      <c r="A143" s="139" t="s">
        <v>9</v>
      </c>
      <c r="B143" s="140"/>
      <c r="C143" s="140">
        <v>150000</v>
      </c>
      <c r="D143" s="140">
        <v>150000</v>
      </c>
      <c r="E143" s="140">
        <v>150000</v>
      </c>
      <c r="F143" s="140">
        <v>150000</v>
      </c>
      <c r="G143" s="140">
        <v>150000</v>
      </c>
      <c r="H143" s="140">
        <v>150000</v>
      </c>
      <c r="I143" s="140"/>
    </row>
    <row r="144" spans="1:9" ht="16.5" x14ac:dyDescent="0.3">
      <c r="A144" s="139"/>
      <c r="B144" s="142"/>
      <c r="C144" s="143">
        <f>C143*C136</f>
        <v>2250000</v>
      </c>
      <c r="D144" s="143">
        <f t="shared" ref="D144" si="157">D143*D136</f>
        <v>2250000</v>
      </c>
      <c r="E144" s="143">
        <f t="shared" ref="E144" si="158">E143*E136</f>
        <v>2250000</v>
      </c>
      <c r="F144" s="143">
        <f t="shared" ref="F144" si="159">F143*F136</f>
        <v>2250000</v>
      </c>
      <c r="G144" s="143">
        <f t="shared" ref="G144" si="160">G143*G136</f>
        <v>2250000</v>
      </c>
      <c r="H144" s="143">
        <f t="shared" ref="H144" si="161">H143*H136</f>
        <v>2250000</v>
      </c>
      <c r="I144" s="145">
        <f>SUM(C144:H144)</f>
        <v>13500000</v>
      </c>
    </row>
    <row r="145" spans="1:10" ht="16.5" x14ac:dyDescent="0.3">
      <c r="A145" s="139" t="s">
        <v>11</v>
      </c>
      <c r="B145" s="140" t="s">
        <v>19</v>
      </c>
      <c r="C145" s="140">
        <v>46500</v>
      </c>
      <c r="D145" s="140">
        <v>46500</v>
      </c>
      <c r="E145" s="140">
        <v>46500</v>
      </c>
      <c r="F145" s="140">
        <v>46500</v>
      </c>
      <c r="G145" s="140">
        <v>46500</v>
      </c>
      <c r="H145" s="140">
        <v>46500</v>
      </c>
      <c r="I145" s="140"/>
    </row>
    <row r="146" spans="1:10" ht="16.5" x14ac:dyDescent="0.3">
      <c r="A146" s="139"/>
      <c r="B146" s="142" t="s">
        <v>20</v>
      </c>
      <c r="C146" s="143">
        <f>C145*C136*3</f>
        <v>2092500</v>
      </c>
      <c r="D146" s="143">
        <f t="shared" ref="D146" si="162">D145*D136*3</f>
        <v>2092500</v>
      </c>
      <c r="E146" s="143">
        <f t="shared" ref="E146" si="163">E145*E136*3</f>
        <v>2092500</v>
      </c>
      <c r="F146" s="143">
        <f t="shared" ref="F146" si="164">F145*F136*3</f>
        <v>2092500</v>
      </c>
      <c r="G146" s="143">
        <f t="shared" ref="G146" si="165">G145*G136*3</f>
        <v>2092500</v>
      </c>
      <c r="H146" s="143">
        <f t="shared" ref="H146" si="166">H145*H136*3</f>
        <v>2092500</v>
      </c>
      <c r="I146" s="145">
        <f>SUM(C146:H146)</f>
        <v>12555000</v>
      </c>
    </row>
    <row r="147" spans="1:10" ht="16.5" x14ac:dyDescent="0.3">
      <c r="A147" s="139" t="s">
        <v>12</v>
      </c>
      <c r="B147" s="140" t="s">
        <v>19</v>
      </c>
      <c r="C147" s="140">
        <v>37150</v>
      </c>
      <c r="D147" s="140">
        <v>37150</v>
      </c>
      <c r="E147" s="140">
        <v>37150</v>
      </c>
      <c r="F147" s="140">
        <v>37150</v>
      </c>
      <c r="G147" s="140">
        <v>37150</v>
      </c>
      <c r="H147" s="140">
        <v>37150</v>
      </c>
      <c r="I147" s="140"/>
    </row>
    <row r="148" spans="1:10" ht="16.5" x14ac:dyDescent="0.3">
      <c r="A148" s="139"/>
      <c r="B148" s="142" t="s">
        <v>20</v>
      </c>
      <c r="C148" s="143">
        <f>C147*C136*3</f>
        <v>1671750</v>
      </c>
      <c r="D148" s="143">
        <f t="shared" ref="D148" si="167">D147*D136*3</f>
        <v>1671750</v>
      </c>
      <c r="E148" s="143">
        <f t="shared" ref="E148" si="168">E147*E136*3</f>
        <v>1671750</v>
      </c>
      <c r="F148" s="143">
        <f t="shared" ref="F148" si="169">F147*F136*3</f>
        <v>1671750</v>
      </c>
      <c r="G148" s="143">
        <f t="shared" ref="G148" si="170">G147*G136*3</f>
        <v>1671750</v>
      </c>
      <c r="H148" s="143">
        <f t="shared" ref="H148" si="171">H147*H136*3</f>
        <v>1671750</v>
      </c>
      <c r="I148" s="145">
        <f>SUM(C148:H148)</f>
        <v>10030500</v>
      </c>
    </row>
    <row r="149" spans="1:10" ht="16.5" x14ac:dyDescent="0.3">
      <c r="A149" s="139" t="s">
        <v>13</v>
      </c>
      <c r="B149" s="140" t="s">
        <v>19</v>
      </c>
      <c r="C149" s="140">
        <v>21450</v>
      </c>
      <c r="D149" s="140">
        <v>21450</v>
      </c>
      <c r="E149" s="140">
        <v>21450</v>
      </c>
      <c r="F149" s="140">
        <v>24150</v>
      </c>
      <c r="G149" s="140">
        <v>24150</v>
      </c>
      <c r="H149" s="140">
        <v>24150</v>
      </c>
      <c r="I149" s="140"/>
    </row>
    <row r="150" spans="1:10" ht="16.5" x14ac:dyDescent="0.3">
      <c r="A150" s="139"/>
      <c r="B150" s="142" t="s">
        <v>20</v>
      </c>
      <c r="C150" s="143">
        <f>C149*C136*3</f>
        <v>965250</v>
      </c>
      <c r="D150" s="143">
        <f t="shared" ref="D150" si="172">D149*D136*3</f>
        <v>965250</v>
      </c>
      <c r="E150" s="143">
        <f t="shared" ref="E150" si="173">E149*E136*3</f>
        <v>965250</v>
      </c>
      <c r="F150" s="143">
        <f t="shared" ref="F150" si="174">F149*F136*3</f>
        <v>1086750</v>
      </c>
      <c r="G150" s="143">
        <f t="shared" ref="G150" si="175">G149*G136*3</f>
        <v>1086750</v>
      </c>
      <c r="H150" s="143">
        <f t="shared" ref="H150" si="176">H149*H136*3</f>
        <v>1086750</v>
      </c>
      <c r="I150" s="145">
        <f>SUM(C150:H150)</f>
        <v>6156000</v>
      </c>
    </row>
    <row r="152" spans="1:10" x14ac:dyDescent="0.25">
      <c r="J152" s="144" t="s">
        <v>27</v>
      </c>
    </row>
    <row r="153" spans="1:10" x14ac:dyDescent="0.25">
      <c r="A153" s="138" t="s">
        <v>37</v>
      </c>
      <c r="C153" s="144" t="s">
        <v>29</v>
      </c>
      <c r="D153" s="144" t="s">
        <v>30</v>
      </c>
      <c r="E153" s="144" t="s">
        <v>31</v>
      </c>
      <c r="F153" s="144" t="s">
        <v>32</v>
      </c>
      <c r="G153" s="144" t="s">
        <v>33</v>
      </c>
      <c r="H153" s="144" t="s">
        <v>34</v>
      </c>
      <c r="I153" s="144" t="s">
        <v>35</v>
      </c>
      <c r="J153" s="144" t="s">
        <v>26</v>
      </c>
    </row>
    <row r="154" spans="1:10" ht="16.5" x14ac:dyDescent="0.3">
      <c r="A154" s="139" t="s">
        <v>18</v>
      </c>
      <c r="B154" s="140"/>
      <c r="C154" s="140">
        <v>15</v>
      </c>
      <c r="D154" s="140">
        <v>15</v>
      </c>
      <c r="E154" s="140">
        <v>15</v>
      </c>
      <c r="F154" s="140">
        <v>15</v>
      </c>
      <c r="G154" s="140">
        <v>15</v>
      </c>
      <c r="H154" s="140">
        <v>15</v>
      </c>
      <c r="I154" s="140">
        <v>15</v>
      </c>
      <c r="J154" s="140">
        <f>SUM(C154:I154)</f>
        <v>105</v>
      </c>
    </row>
    <row r="155" spans="1:10" ht="16.5" x14ac:dyDescent="0.3">
      <c r="A155" s="139" t="s">
        <v>7</v>
      </c>
      <c r="B155" s="140" t="s">
        <v>19</v>
      </c>
      <c r="C155" s="140">
        <v>295580</v>
      </c>
      <c r="D155" s="140">
        <v>350705</v>
      </c>
      <c r="E155" s="140">
        <v>350705</v>
      </c>
      <c r="F155" s="140">
        <v>350705</v>
      </c>
      <c r="G155" s="140">
        <v>481352</v>
      </c>
      <c r="H155" s="140">
        <v>564811</v>
      </c>
      <c r="I155" s="140">
        <v>564811</v>
      </c>
      <c r="J155" s="140"/>
    </row>
    <row r="156" spans="1:10" ht="16.5" x14ac:dyDescent="0.3">
      <c r="A156" s="139"/>
      <c r="B156" s="142" t="s">
        <v>20</v>
      </c>
      <c r="C156" s="143">
        <f>C154*C155*3</f>
        <v>13301100</v>
      </c>
      <c r="D156" s="143">
        <f t="shared" ref="D156" si="177">D154*D155*3</f>
        <v>15781725</v>
      </c>
      <c r="E156" s="143">
        <f t="shared" ref="E156" si="178">E154*E155*3</f>
        <v>15781725</v>
      </c>
      <c r="F156" s="143">
        <f t="shared" ref="F156" si="179">F154*F155*3</f>
        <v>15781725</v>
      </c>
      <c r="G156" s="143">
        <f t="shared" ref="G156" si="180">G154*G155*3</f>
        <v>21660840</v>
      </c>
      <c r="H156" s="143">
        <f t="shared" ref="H156" si="181">H154*H155*3</f>
        <v>25416495</v>
      </c>
      <c r="I156" s="143">
        <f t="shared" ref="I156" si="182">I154*I155*3</f>
        <v>25416495</v>
      </c>
      <c r="J156" s="145">
        <f>SUM(C156:I156)</f>
        <v>133140105</v>
      </c>
    </row>
    <row r="157" spans="1:10" ht="16.5" x14ac:dyDescent="0.3">
      <c r="A157" s="139" t="s">
        <v>8</v>
      </c>
      <c r="B157" s="140"/>
      <c r="C157" s="140">
        <v>50000</v>
      </c>
      <c r="D157" s="140">
        <v>50000</v>
      </c>
      <c r="E157" s="140">
        <v>50000</v>
      </c>
      <c r="F157" s="140">
        <v>50000</v>
      </c>
      <c r="G157" s="140">
        <v>50000</v>
      </c>
      <c r="H157" s="140">
        <v>50000</v>
      </c>
      <c r="I157" s="140">
        <v>50000</v>
      </c>
      <c r="J157" s="140"/>
    </row>
    <row r="158" spans="1:10" ht="16.5" x14ac:dyDescent="0.3">
      <c r="A158" s="139"/>
      <c r="B158" s="142" t="s">
        <v>21</v>
      </c>
      <c r="C158" s="143">
        <f>C157*C154</f>
        <v>750000</v>
      </c>
      <c r="D158" s="143">
        <f t="shared" ref="D158" si="183">D157*D154</f>
        <v>750000</v>
      </c>
      <c r="E158" s="143">
        <f t="shared" ref="E158" si="184">E157*E154</f>
        <v>750000</v>
      </c>
      <c r="F158" s="143">
        <f t="shared" ref="F158" si="185">F157*F154</f>
        <v>750000</v>
      </c>
      <c r="G158" s="143">
        <f t="shared" ref="G158" si="186">G157*G154</f>
        <v>750000</v>
      </c>
      <c r="H158" s="143">
        <f t="shared" ref="H158" si="187">H157*H154</f>
        <v>750000</v>
      </c>
      <c r="I158" s="143">
        <f t="shared" ref="I158" si="188">I157*I154</f>
        <v>750000</v>
      </c>
      <c r="J158" s="145">
        <f>SUM(C158:I158)</f>
        <v>5250000</v>
      </c>
    </row>
    <row r="159" spans="1:10" ht="16.5" x14ac:dyDescent="0.3">
      <c r="A159" s="139" t="s">
        <v>10</v>
      </c>
      <c r="B159" s="140"/>
      <c r="C159" s="140">
        <v>70000</v>
      </c>
      <c r="D159" s="140">
        <v>70000</v>
      </c>
      <c r="E159" s="140">
        <v>70000</v>
      </c>
      <c r="F159" s="140">
        <v>70000</v>
      </c>
      <c r="G159" s="140">
        <v>70000</v>
      </c>
      <c r="H159" s="140">
        <v>70000</v>
      </c>
      <c r="I159" s="140">
        <v>70000</v>
      </c>
      <c r="J159" s="140"/>
    </row>
    <row r="160" spans="1:10" ht="16.5" x14ac:dyDescent="0.3">
      <c r="A160" s="139"/>
      <c r="B160" s="142" t="s">
        <v>21</v>
      </c>
      <c r="C160" s="143">
        <f>C159*C154</f>
        <v>1050000</v>
      </c>
      <c r="D160" s="143">
        <f t="shared" ref="D160" si="189">D159*D154</f>
        <v>1050000</v>
      </c>
      <c r="E160" s="143">
        <f t="shared" ref="E160" si="190">E159*E154</f>
        <v>1050000</v>
      </c>
      <c r="F160" s="143">
        <f t="shared" ref="F160" si="191">F159*F154</f>
        <v>1050000</v>
      </c>
      <c r="G160" s="143">
        <f t="shared" ref="G160" si="192">G159*G154</f>
        <v>1050000</v>
      </c>
      <c r="H160" s="143">
        <f t="shared" ref="H160" si="193">H159*H154</f>
        <v>1050000</v>
      </c>
      <c r="I160" s="143">
        <f>I159*I154</f>
        <v>1050000</v>
      </c>
      <c r="J160" s="145">
        <f>SUM(C160:I160)</f>
        <v>7350000</v>
      </c>
    </row>
    <row r="161" spans="1:10" ht="16.5" x14ac:dyDescent="0.3">
      <c r="A161" s="139" t="s">
        <v>9</v>
      </c>
      <c r="B161" s="140"/>
      <c r="C161" s="140">
        <v>150000</v>
      </c>
      <c r="D161" s="140">
        <v>150000</v>
      </c>
      <c r="E161" s="140">
        <v>150000</v>
      </c>
      <c r="F161" s="140">
        <v>150000</v>
      </c>
      <c r="G161" s="140">
        <v>150000</v>
      </c>
      <c r="H161" s="140">
        <v>150000</v>
      </c>
      <c r="I161" s="140">
        <v>150000</v>
      </c>
      <c r="J161" s="140"/>
    </row>
    <row r="162" spans="1:10" ht="16.5" x14ac:dyDescent="0.3">
      <c r="A162" s="139"/>
      <c r="B162" s="142"/>
      <c r="C162" s="143">
        <f>C161*C154</f>
        <v>2250000</v>
      </c>
      <c r="D162" s="143">
        <f t="shared" ref="D162" si="194">D161*D154</f>
        <v>2250000</v>
      </c>
      <c r="E162" s="143">
        <f t="shared" ref="E162" si="195">E161*E154</f>
        <v>2250000</v>
      </c>
      <c r="F162" s="143">
        <f t="shared" ref="F162" si="196">F161*F154</f>
        <v>2250000</v>
      </c>
      <c r="G162" s="143">
        <f t="shared" ref="G162" si="197">G161*G154</f>
        <v>2250000</v>
      </c>
      <c r="H162" s="143">
        <f t="shared" ref="H162" si="198">H161*H154</f>
        <v>2250000</v>
      </c>
      <c r="I162" s="143">
        <f t="shared" ref="I162" si="199">I161*I154</f>
        <v>2250000</v>
      </c>
      <c r="J162" s="145">
        <f>SUM(C162:I162)</f>
        <v>15750000</v>
      </c>
    </row>
    <row r="163" spans="1:10" ht="16.5" x14ac:dyDescent="0.3">
      <c r="A163" s="139" t="s">
        <v>11</v>
      </c>
      <c r="B163" s="140" t="s">
        <v>19</v>
      </c>
      <c r="C163" s="140">
        <v>51000</v>
      </c>
      <c r="D163" s="140">
        <v>51000</v>
      </c>
      <c r="E163" s="140">
        <v>51000</v>
      </c>
      <c r="F163" s="140">
        <v>51000</v>
      </c>
      <c r="G163" s="140">
        <v>51000</v>
      </c>
      <c r="H163" s="140">
        <v>51000</v>
      </c>
      <c r="I163" s="140">
        <v>51000</v>
      </c>
      <c r="J163" s="140"/>
    </row>
    <row r="164" spans="1:10" ht="16.5" x14ac:dyDescent="0.3">
      <c r="A164" s="139"/>
      <c r="B164" s="142" t="s">
        <v>20</v>
      </c>
      <c r="C164" s="143">
        <f>C163*C154*3</f>
        <v>2295000</v>
      </c>
      <c r="D164" s="143">
        <f t="shared" ref="D164" si="200">D163*D154*3</f>
        <v>2295000</v>
      </c>
      <c r="E164" s="143">
        <f t="shared" ref="E164" si="201">E163*E154*3</f>
        <v>2295000</v>
      </c>
      <c r="F164" s="143">
        <f t="shared" ref="F164" si="202">F163*F154*3</f>
        <v>2295000</v>
      </c>
      <c r="G164" s="143">
        <f t="shared" ref="G164" si="203">G163*G154*3</f>
        <v>2295000</v>
      </c>
      <c r="H164" s="143">
        <f t="shared" ref="H164" si="204">H163*H154*3</f>
        <v>2295000</v>
      </c>
      <c r="I164" s="143">
        <f t="shared" ref="I164" si="205">I163*I154*3</f>
        <v>2295000</v>
      </c>
      <c r="J164" s="145">
        <f>SUM(C164:I164)</f>
        <v>16065000</v>
      </c>
    </row>
    <row r="165" spans="1:10" ht="16.5" x14ac:dyDescent="0.3">
      <c r="A165" s="139" t="s">
        <v>12</v>
      </c>
      <c r="B165" s="140" t="s">
        <v>19</v>
      </c>
      <c r="C165" s="140">
        <v>40250</v>
      </c>
      <c r="D165" s="140">
        <v>40250</v>
      </c>
      <c r="E165" s="140">
        <v>40250</v>
      </c>
      <c r="F165" s="140">
        <v>40250</v>
      </c>
      <c r="G165" s="140">
        <v>40250</v>
      </c>
      <c r="H165" s="140">
        <v>40250</v>
      </c>
      <c r="I165" s="140">
        <v>40250</v>
      </c>
      <c r="J165" s="140"/>
    </row>
    <row r="166" spans="1:10" ht="16.5" x14ac:dyDescent="0.3">
      <c r="A166" s="139"/>
      <c r="B166" s="142" t="s">
        <v>20</v>
      </c>
      <c r="C166" s="143">
        <f>C165*C154*3</f>
        <v>1811250</v>
      </c>
      <c r="D166" s="143">
        <f t="shared" ref="D166" si="206">D165*D154*3</f>
        <v>1811250</v>
      </c>
      <c r="E166" s="143">
        <f t="shared" ref="E166" si="207">E165*E154*3</f>
        <v>1811250</v>
      </c>
      <c r="F166" s="143">
        <f t="shared" ref="F166" si="208">F165*F154*3</f>
        <v>1811250</v>
      </c>
      <c r="G166" s="143">
        <f t="shared" ref="G166" si="209">G165*G154*3</f>
        <v>1811250</v>
      </c>
      <c r="H166" s="143">
        <f t="shared" ref="H166" si="210">H165*H154*3</f>
        <v>1811250</v>
      </c>
      <c r="I166" s="143">
        <f t="shared" ref="I166" si="211">I165*I154*3</f>
        <v>1811250</v>
      </c>
      <c r="J166" s="145">
        <f>SUM(C166:I166)</f>
        <v>12678750</v>
      </c>
    </row>
    <row r="167" spans="1:10" ht="16.5" x14ac:dyDescent="0.3">
      <c r="A167" s="139" t="s">
        <v>13</v>
      </c>
      <c r="B167" s="140" t="s">
        <v>19</v>
      </c>
      <c r="C167" s="140">
        <v>27600</v>
      </c>
      <c r="D167" s="140">
        <v>27600</v>
      </c>
      <c r="E167" s="140">
        <v>27600</v>
      </c>
      <c r="F167" s="140">
        <v>27600</v>
      </c>
      <c r="G167" s="140">
        <v>31050</v>
      </c>
      <c r="H167" s="140">
        <v>31050</v>
      </c>
      <c r="I167" s="140">
        <v>31050</v>
      </c>
      <c r="J167" s="140"/>
    </row>
    <row r="168" spans="1:10" ht="16.5" x14ac:dyDescent="0.3">
      <c r="A168" s="139"/>
      <c r="B168" s="142" t="s">
        <v>20</v>
      </c>
      <c r="C168" s="143">
        <f>C167*C154*3</f>
        <v>1242000</v>
      </c>
      <c r="D168" s="143">
        <f t="shared" ref="D168" si="212">D167*D154*3</f>
        <v>1242000</v>
      </c>
      <c r="E168" s="143">
        <f t="shared" ref="E168" si="213">E167*E154*3</f>
        <v>1242000</v>
      </c>
      <c r="F168" s="143">
        <f t="shared" ref="F168" si="214">F167*F154*3</f>
        <v>1242000</v>
      </c>
      <c r="G168" s="143">
        <f t="shared" ref="G168" si="215">G167*G154*3</f>
        <v>1397250</v>
      </c>
      <c r="H168" s="143">
        <f t="shared" ref="H168" si="216">H167*H154*3</f>
        <v>1397250</v>
      </c>
      <c r="I168" s="143">
        <f t="shared" ref="I168" si="217">I167*I154*3</f>
        <v>1397250</v>
      </c>
      <c r="J168" s="145">
        <f>SUM(C168:I168)</f>
        <v>9159750</v>
      </c>
    </row>
    <row r="170" spans="1:10" x14ac:dyDescent="0.25">
      <c r="B170" s="203" t="s">
        <v>3</v>
      </c>
      <c r="C170" s="203"/>
      <c r="D170" s="203"/>
      <c r="E170" s="203"/>
    </row>
    <row r="171" spans="1:10" x14ac:dyDescent="0.25">
      <c r="G171" s="137" t="s">
        <v>27</v>
      </c>
    </row>
    <row r="172" spans="1:10" x14ac:dyDescent="0.25">
      <c r="A172" s="138" t="s">
        <v>36</v>
      </c>
      <c r="C172" s="137" t="s">
        <v>22</v>
      </c>
      <c r="D172" s="137" t="s">
        <v>23</v>
      </c>
      <c r="E172" s="137" t="s">
        <v>24</v>
      </c>
      <c r="F172" s="137" t="s">
        <v>25</v>
      </c>
      <c r="G172" s="137" t="s">
        <v>26</v>
      </c>
    </row>
    <row r="173" spans="1:10" ht="16.5" x14ac:dyDescent="0.3">
      <c r="A173" s="139" t="s">
        <v>18</v>
      </c>
      <c r="B173" s="140"/>
      <c r="C173" s="140">
        <v>20</v>
      </c>
      <c r="D173" s="140">
        <v>20</v>
      </c>
      <c r="E173" s="140">
        <v>20</v>
      </c>
      <c r="F173" s="140">
        <v>20</v>
      </c>
      <c r="G173" s="140">
        <f>SUM(C173:F173)</f>
        <v>80</v>
      </c>
    </row>
    <row r="174" spans="1:10" ht="16.5" x14ac:dyDescent="0.3">
      <c r="A174" s="139" t="s">
        <v>7</v>
      </c>
      <c r="B174" s="140" t="s">
        <v>19</v>
      </c>
      <c r="C174" s="141">
        <v>88211</v>
      </c>
      <c r="D174" s="141">
        <v>113679</v>
      </c>
      <c r="E174" s="141">
        <v>114721</v>
      </c>
      <c r="F174" s="141">
        <v>133416</v>
      </c>
      <c r="G174" s="141"/>
    </row>
    <row r="175" spans="1:10" ht="16.5" x14ac:dyDescent="0.3">
      <c r="A175" s="139"/>
      <c r="B175" s="142" t="s">
        <v>20</v>
      </c>
      <c r="C175" s="143">
        <f>C173*C174*3</f>
        <v>5292660</v>
      </c>
      <c r="D175" s="143">
        <f t="shared" ref="D175" si="218">D173*D174*3</f>
        <v>6820740</v>
      </c>
      <c r="E175" s="143">
        <f t="shared" ref="E175" si="219">E173*E174*3</f>
        <v>6883260</v>
      </c>
      <c r="F175" s="143">
        <f t="shared" ref="F175" si="220">F173*F174*3</f>
        <v>8004960</v>
      </c>
      <c r="G175" s="143">
        <f>SUM(C175:F175)</f>
        <v>27001620</v>
      </c>
    </row>
    <row r="176" spans="1:10" ht="16.5" x14ac:dyDescent="0.3">
      <c r="A176" s="139" t="s">
        <v>8</v>
      </c>
      <c r="B176" s="140"/>
      <c r="C176" s="141">
        <v>50000</v>
      </c>
      <c r="D176" s="141">
        <v>50000</v>
      </c>
      <c r="E176" s="141">
        <v>50000</v>
      </c>
      <c r="F176" s="141">
        <v>50000</v>
      </c>
      <c r="G176" s="141"/>
    </row>
    <row r="177" spans="1:9" ht="16.5" x14ac:dyDescent="0.3">
      <c r="A177" s="139"/>
      <c r="B177" s="142" t="s">
        <v>21</v>
      </c>
      <c r="C177" s="143">
        <f>C176*C173</f>
        <v>1000000</v>
      </c>
      <c r="D177" s="143">
        <f t="shared" ref="D177" si="221">D176*D173</f>
        <v>1000000</v>
      </c>
      <c r="E177" s="143">
        <f t="shared" ref="E177" si="222">E176*E173</f>
        <v>1000000</v>
      </c>
      <c r="F177" s="143">
        <f t="shared" ref="F177" si="223">F176*F173</f>
        <v>1000000</v>
      </c>
      <c r="G177" s="143">
        <f>SUM(C177:F177)</f>
        <v>4000000</v>
      </c>
    </row>
    <row r="178" spans="1:9" ht="16.5" x14ac:dyDescent="0.3">
      <c r="A178" s="139" t="s">
        <v>10</v>
      </c>
      <c r="B178" s="140"/>
      <c r="C178" s="141">
        <v>70000</v>
      </c>
      <c r="D178" s="141">
        <v>70000</v>
      </c>
      <c r="E178" s="141">
        <v>70000</v>
      </c>
      <c r="F178" s="141">
        <v>70000</v>
      </c>
      <c r="G178" s="141"/>
    </row>
    <row r="179" spans="1:9" ht="16.5" x14ac:dyDescent="0.3">
      <c r="A179" s="139"/>
      <c r="B179" s="142" t="s">
        <v>21</v>
      </c>
      <c r="C179" s="143">
        <f>C178*C173</f>
        <v>1400000</v>
      </c>
      <c r="D179" s="143">
        <f t="shared" ref="D179" si="224">D178*D173</f>
        <v>1400000</v>
      </c>
      <c r="E179" s="143">
        <f t="shared" ref="E179" si="225">E178*E173</f>
        <v>1400000</v>
      </c>
      <c r="F179" s="143">
        <f t="shared" ref="F179" si="226">F178*F173</f>
        <v>1400000</v>
      </c>
      <c r="G179" s="143">
        <f>SUM(C179:F179)</f>
        <v>5600000</v>
      </c>
    </row>
    <row r="180" spans="1:9" ht="16.5" x14ac:dyDescent="0.3">
      <c r="A180" s="139" t="s">
        <v>9</v>
      </c>
      <c r="B180" s="140"/>
      <c r="C180" s="141">
        <v>150000</v>
      </c>
      <c r="D180" s="141">
        <v>150000</v>
      </c>
      <c r="E180" s="141">
        <v>150000</v>
      </c>
      <c r="F180" s="141">
        <v>150000</v>
      </c>
      <c r="G180" s="141"/>
    </row>
    <row r="181" spans="1:9" ht="16.5" x14ac:dyDescent="0.3">
      <c r="A181" s="139"/>
      <c r="B181" s="142"/>
      <c r="C181" s="143">
        <f>C180*C173</f>
        <v>3000000</v>
      </c>
      <c r="D181" s="143">
        <f t="shared" ref="D181" si="227">D180*D173</f>
        <v>3000000</v>
      </c>
      <c r="E181" s="143">
        <f t="shared" ref="E181" si="228">E180*E173</f>
        <v>3000000</v>
      </c>
      <c r="F181" s="143">
        <f t="shared" ref="F181" si="229">F180*F173</f>
        <v>3000000</v>
      </c>
      <c r="G181" s="143">
        <f>SUM(C181:F181)</f>
        <v>12000000</v>
      </c>
    </row>
    <row r="182" spans="1:9" ht="16.5" x14ac:dyDescent="0.3">
      <c r="A182" s="139" t="s">
        <v>11</v>
      </c>
      <c r="B182" s="140" t="s">
        <v>19</v>
      </c>
      <c r="C182" s="141">
        <v>42000</v>
      </c>
      <c r="D182" s="141">
        <v>42000</v>
      </c>
      <c r="E182" s="141">
        <v>42000</v>
      </c>
      <c r="F182" s="141">
        <v>42000</v>
      </c>
      <c r="G182" s="141"/>
    </row>
    <row r="183" spans="1:9" ht="16.5" x14ac:dyDescent="0.3">
      <c r="A183" s="139"/>
      <c r="B183" s="142" t="s">
        <v>20</v>
      </c>
      <c r="C183" s="143">
        <f>C182*C173*3</f>
        <v>2520000</v>
      </c>
      <c r="D183" s="143">
        <f t="shared" ref="D183" si="230">D182*D173*3</f>
        <v>2520000</v>
      </c>
      <c r="E183" s="143">
        <f t="shared" ref="E183" si="231">E182*E173*3</f>
        <v>2520000</v>
      </c>
      <c r="F183" s="143">
        <f t="shared" ref="F183" si="232">F182*F173*3</f>
        <v>2520000</v>
      </c>
      <c r="G183" s="143">
        <f>SUM(C183:F183)</f>
        <v>10080000</v>
      </c>
    </row>
    <row r="184" spans="1:9" ht="16.5" x14ac:dyDescent="0.3">
      <c r="A184" s="139" t="s">
        <v>12</v>
      </c>
      <c r="B184" s="140" t="s">
        <v>19</v>
      </c>
      <c r="C184" s="141">
        <v>32300</v>
      </c>
      <c r="D184" s="141">
        <v>32300</v>
      </c>
      <c r="E184" s="141">
        <v>32300</v>
      </c>
      <c r="F184" s="141">
        <v>32300</v>
      </c>
      <c r="G184" s="141"/>
    </row>
    <row r="185" spans="1:9" ht="16.5" x14ac:dyDescent="0.3">
      <c r="A185" s="139"/>
      <c r="B185" s="142" t="s">
        <v>20</v>
      </c>
      <c r="C185" s="143">
        <f>C184*C173*3</f>
        <v>1938000</v>
      </c>
      <c r="D185" s="143">
        <f t="shared" ref="D185" si="233">D184*D173*3</f>
        <v>1938000</v>
      </c>
      <c r="E185" s="143">
        <f t="shared" ref="E185" si="234">E184*E173*3</f>
        <v>1938000</v>
      </c>
      <c r="F185" s="143">
        <f t="shared" ref="F185" si="235">F184*F173*3</f>
        <v>1938000</v>
      </c>
      <c r="G185" s="143">
        <f>SUM(C185:F185)</f>
        <v>7752000</v>
      </c>
    </row>
    <row r="186" spans="1:9" ht="16.5" x14ac:dyDescent="0.3">
      <c r="A186" s="139" t="s">
        <v>13</v>
      </c>
      <c r="B186" s="140" t="s">
        <v>19</v>
      </c>
      <c r="C186" s="141">
        <v>13500</v>
      </c>
      <c r="D186" s="141">
        <v>13500</v>
      </c>
      <c r="E186" s="141">
        <v>13500</v>
      </c>
      <c r="F186" s="141">
        <v>13500</v>
      </c>
      <c r="G186" s="141"/>
    </row>
    <row r="187" spans="1:9" ht="16.5" x14ac:dyDescent="0.3">
      <c r="A187" s="139"/>
      <c r="B187" s="142" t="s">
        <v>20</v>
      </c>
      <c r="C187" s="143">
        <f>C186*C173*3</f>
        <v>810000</v>
      </c>
      <c r="D187" s="143">
        <f t="shared" ref="D187" si="236">D186*D173*3</f>
        <v>810000</v>
      </c>
      <c r="E187" s="143">
        <f t="shared" ref="E187" si="237">E186*E173*3</f>
        <v>810000</v>
      </c>
      <c r="F187" s="143">
        <f t="shared" ref="F187" si="238">F186*F173*3</f>
        <v>810000</v>
      </c>
      <c r="G187" s="143">
        <f>SUM(C187:F187)</f>
        <v>3240000</v>
      </c>
    </row>
    <row r="189" spans="1:9" x14ac:dyDescent="0.25">
      <c r="I189" s="144" t="s">
        <v>27</v>
      </c>
    </row>
    <row r="190" spans="1:9" x14ac:dyDescent="0.25">
      <c r="A190" s="138" t="s">
        <v>38</v>
      </c>
      <c r="C190" s="144" t="s">
        <v>0</v>
      </c>
      <c r="D190" s="144" t="s">
        <v>1</v>
      </c>
      <c r="E190" s="144" t="s">
        <v>2</v>
      </c>
      <c r="F190" s="144" t="s">
        <v>3</v>
      </c>
      <c r="G190" s="144" t="s">
        <v>4</v>
      </c>
      <c r="H190" s="144" t="s">
        <v>28</v>
      </c>
      <c r="I190" s="144" t="s">
        <v>26</v>
      </c>
    </row>
    <row r="191" spans="1:9" ht="16.5" x14ac:dyDescent="0.3">
      <c r="A191" s="139" t="s">
        <v>18</v>
      </c>
      <c r="B191" s="140"/>
      <c r="C191" s="140">
        <v>20</v>
      </c>
      <c r="D191" s="140">
        <v>20</v>
      </c>
      <c r="E191" s="140">
        <v>20</v>
      </c>
      <c r="F191" s="140">
        <v>20</v>
      </c>
      <c r="G191" s="140">
        <v>20</v>
      </c>
      <c r="H191" s="140">
        <v>20</v>
      </c>
      <c r="I191" s="140">
        <f>SUM(C191:H191)</f>
        <v>120</v>
      </c>
    </row>
    <row r="192" spans="1:9" ht="16.5" x14ac:dyDescent="0.3">
      <c r="A192" s="139" t="s">
        <v>7</v>
      </c>
      <c r="B192" s="140" t="s">
        <v>19</v>
      </c>
      <c r="C192" s="140">
        <v>156279</v>
      </c>
      <c r="D192" s="140">
        <v>194713</v>
      </c>
      <c r="E192" s="140">
        <v>249237</v>
      </c>
      <c r="F192" s="140">
        <v>249237</v>
      </c>
      <c r="G192" s="140">
        <v>249237</v>
      </c>
      <c r="H192" s="140">
        <v>270884</v>
      </c>
      <c r="I192" s="140"/>
    </row>
    <row r="193" spans="1:10" ht="16.5" x14ac:dyDescent="0.3">
      <c r="A193" s="139"/>
      <c r="B193" s="142" t="s">
        <v>20</v>
      </c>
      <c r="C193" s="143">
        <f>C191*C192*3</f>
        <v>9376740</v>
      </c>
      <c r="D193" s="143">
        <f t="shared" ref="D193" si="239">D191*D192*3</f>
        <v>11682780</v>
      </c>
      <c r="E193" s="143">
        <f t="shared" ref="E193" si="240">E191*E192*3</f>
        <v>14954220</v>
      </c>
      <c r="F193" s="143">
        <f t="shared" ref="F193" si="241">F191*F192*3</f>
        <v>14954220</v>
      </c>
      <c r="G193" s="143">
        <f t="shared" ref="G193" si="242">G191*G192*3</f>
        <v>14954220</v>
      </c>
      <c r="H193" s="143">
        <f t="shared" ref="H193" si="243">H191*H192*3</f>
        <v>16253040</v>
      </c>
      <c r="I193" s="145">
        <f>SUM(C193:H193)</f>
        <v>82175220</v>
      </c>
    </row>
    <row r="194" spans="1:10" ht="16.5" x14ac:dyDescent="0.3">
      <c r="A194" s="139" t="s">
        <v>8</v>
      </c>
      <c r="B194" s="140"/>
      <c r="C194" s="140">
        <v>50000</v>
      </c>
      <c r="D194" s="140">
        <v>50000</v>
      </c>
      <c r="E194" s="140">
        <v>50000</v>
      </c>
      <c r="F194" s="140">
        <v>50000</v>
      </c>
      <c r="G194" s="140">
        <v>50000</v>
      </c>
      <c r="H194" s="140">
        <v>50000</v>
      </c>
      <c r="I194" s="140"/>
    </row>
    <row r="195" spans="1:10" ht="16.5" x14ac:dyDescent="0.3">
      <c r="A195" s="139"/>
      <c r="B195" s="142" t="s">
        <v>21</v>
      </c>
      <c r="C195" s="143">
        <f>C194*C191</f>
        <v>1000000</v>
      </c>
      <c r="D195" s="143">
        <f t="shared" ref="D195" si="244">D194*D191</f>
        <v>1000000</v>
      </c>
      <c r="E195" s="143">
        <f t="shared" ref="E195" si="245">E194*E191</f>
        <v>1000000</v>
      </c>
      <c r="F195" s="143">
        <f t="shared" ref="F195" si="246">F194*F191</f>
        <v>1000000</v>
      </c>
      <c r="G195" s="143">
        <f>G194*G191</f>
        <v>1000000</v>
      </c>
      <c r="H195" s="143">
        <f>H194*H191</f>
        <v>1000000</v>
      </c>
      <c r="I195" s="145">
        <f>SUM(C195:H195)</f>
        <v>6000000</v>
      </c>
    </row>
    <row r="196" spans="1:10" ht="16.5" x14ac:dyDescent="0.3">
      <c r="A196" s="139" t="s">
        <v>10</v>
      </c>
      <c r="B196" s="140"/>
      <c r="C196" s="140">
        <v>70000</v>
      </c>
      <c r="D196" s="140">
        <v>70000</v>
      </c>
      <c r="E196" s="140">
        <v>70000</v>
      </c>
      <c r="F196" s="140">
        <v>70000</v>
      </c>
      <c r="G196" s="140">
        <v>70000</v>
      </c>
      <c r="H196" s="140">
        <v>70000</v>
      </c>
      <c r="I196" s="140"/>
    </row>
    <row r="197" spans="1:10" ht="16.5" x14ac:dyDescent="0.3">
      <c r="A197" s="139"/>
      <c r="B197" s="142" t="s">
        <v>21</v>
      </c>
      <c r="C197" s="143">
        <f>C196*C191</f>
        <v>1400000</v>
      </c>
      <c r="D197" s="143">
        <f t="shared" ref="D197" si="247">D196*D191</f>
        <v>1400000</v>
      </c>
      <c r="E197" s="143">
        <f t="shared" ref="E197" si="248">E196*E191</f>
        <v>1400000</v>
      </c>
      <c r="F197" s="143">
        <f t="shared" ref="F197" si="249">F196*F191</f>
        <v>1400000</v>
      </c>
      <c r="G197" s="143">
        <f t="shared" ref="G197" si="250">G196*G191</f>
        <v>1400000</v>
      </c>
      <c r="H197" s="143">
        <f t="shared" ref="H197" si="251">H196*H191</f>
        <v>1400000</v>
      </c>
      <c r="I197" s="145">
        <f>SUM(C197:H197)</f>
        <v>8400000</v>
      </c>
    </row>
    <row r="198" spans="1:10" ht="16.5" x14ac:dyDescent="0.3">
      <c r="A198" s="139" t="s">
        <v>9</v>
      </c>
      <c r="B198" s="140"/>
      <c r="C198" s="140">
        <v>150000</v>
      </c>
      <c r="D198" s="140">
        <v>150000</v>
      </c>
      <c r="E198" s="140">
        <v>150000</v>
      </c>
      <c r="F198" s="140">
        <v>150000</v>
      </c>
      <c r="G198" s="140">
        <v>150000</v>
      </c>
      <c r="H198" s="140">
        <v>150000</v>
      </c>
      <c r="I198" s="140"/>
    </row>
    <row r="199" spans="1:10" ht="16.5" x14ac:dyDescent="0.3">
      <c r="A199" s="139"/>
      <c r="B199" s="142"/>
      <c r="C199" s="143">
        <f>C198*C191</f>
        <v>3000000</v>
      </c>
      <c r="D199" s="143">
        <f t="shared" ref="D199" si="252">D198*D191</f>
        <v>3000000</v>
      </c>
      <c r="E199" s="143">
        <f t="shared" ref="E199" si="253">E198*E191</f>
        <v>3000000</v>
      </c>
      <c r="F199" s="143">
        <f t="shared" ref="F199" si="254">F198*F191</f>
        <v>3000000</v>
      </c>
      <c r="G199" s="143">
        <f t="shared" ref="G199" si="255">G198*G191</f>
        <v>3000000</v>
      </c>
      <c r="H199" s="143">
        <f t="shared" ref="H199" si="256">H198*H191</f>
        <v>3000000</v>
      </c>
      <c r="I199" s="145">
        <f>SUM(C199:H199)</f>
        <v>18000000</v>
      </c>
    </row>
    <row r="200" spans="1:10" ht="16.5" x14ac:dyDescent="0.3">
      <c r="A200" s="139" t="s">
        <v>11</v>
      </c>
      <c r="B200" s="140" t="s">
        <v>19</v>
      </c>
      <c r="C200" s="140">
        <v>46500</v>
      </c>
      <c r="D200" s="140">
        <v>46500</v>
      </c>
      <c r="E200" s="140">
        <v>46500</v>
      </c>
      <c r="F200" s="140">
        <v>46500</v>
      </c>
      <c r="G200" s="140">
        <v>46500</v>
      </c>
      <c r="H200" s="140">
        <v>46500</v>
      </c>
      <c r="I200" s="140"/>
    </row>
    <row r="201" spans="1:10" ht="16.5" x14ac:dyDescent="0.3">
      <c r="A201" s="139"/>
      <c r="B201" s="142" t="s">
        <v>20</v>
      </c>
      <c r="C201" s="143">
        <f>C200*C191*3</f>
        <v>2790000</v>
      </c>
      <c r="D201" s="143">
        <f t="shared" ref="D201" si="257">D200*D191*3</f>
        <v>2790000</v>
      </c>
      <c r="E201" s="143">
        <f t="shared" ref="E201" si="258">E200*E191*3</f>
        <v>2790000</v>
      </c>
      <c r="F201" s="143">
        <f t="shared" ref="F201" si="259">F200*F191*3</f>
        <v>2790000</v>
      </c>
      <c r="G201" s="143">
        <f t="shared" ref="G201" si="260">G200*G191*3</f>
        <v>2790000</v>
      </c>
      <c r="H201" s="143">
        <f t="shared" ref="H201" si="261">H200*H191*3</f>
        <v>2790000</v>
      </c>
      <c r="I201" s="145">
        <f>SUM(C201:H201)</f>
        <v>16740000</v>
      </c>
    </row>
    <row r="202" spans="1:10" ht="16.5" x14ac:dyDescent="0.3">
      <c r="A202" s="139" t="s">
        <v>12</v>
      </c>
      <c r="B202" s="140" t="s">
        <v>19</v>
      </c>
      <c r="C202" s="140">
        <v>37150</v>
      </c>
      <c r="D202" s="140">
        <v>37150</v>
      </c>
      <c r="E202" s="140">
        <v>37150</v>
      </c>
      <c r="F202" s="140">
        <v>37150</v>
      </c>
      <c r="G202" s="140">
        <v>37150</v>
      </c>
      <c r="H202" s="140">
        <v>37150</v>
      </c>
      <c r="I202" s="140"/>
    </row>
    <row r="203" spans="1:10" ht="16.5" x14ac:dyDescent="0.3">
      <c r="A203" s="139"/>
      <c r="B203" s="142" t="s">
        <v>20</v>
      </c>
      <c r="C203" s="143">
        <f>C202*C191*3</f>
        <v>2229000</v>
      </c>
      <c r="D203" s="143">
        <f t="shared" ref="D203" si="262">D202*D191*3</f>
        <v>2229000</v>
      </c>
      <c r="E203" s="143">
        <f t="shared" ref="E203" si="263">E202*E191*3</f>
        <v>2229000</v>
      </c>
      <c r="F203" s="143">
        <f t="shared" ref="F203" si="264">F202*F191*3</f>
        <v>2229000</v>
      </c>
      <c r="G203" s="143">
        <f t="shared" ref="G203" si="265">G202*G191*3</f>
        <v>2229000</v>
      </c>
      <c r="H203" s="143">
        <f t="shared" ref="H203" si="266">H202*H191*3</f>
        <v>2229000</v>
      </c>
      <c r="I203" s="145">
        <f>SUM(C203:H203)</f>
        <v>13374000</v>
      </c>
    </row>
    <row r="204" spans="1:10" ht="16.5" x14ac:dyDescent="0.3">
      <c r="A204" s="139" t="s">
        <v>13</v>
      </c>
      <c r="B204" s="140" t="s">
        <v>19</v>
      </c>
      <c r="C204" s="140">
        <v>21450</v>
      </c>
      <c r="D204" s="140">
        <v>21450</v>
      </c>
      <c r="E204" s="140">
        <v>21450</v>
      </c>
      <c r="F204" s="140">
        <v>24150</v>
      </c>
      <c r="G204" s="140">
        <v>24150</v>
      </c>
      <c r="H204" s="140">
        <v>24150</v>
      </c>
      <c r="I204" s="140"/>
    </row>
    <row r="205" spans="1:10" ht="16.5" x14ac:dyDescent="0.3">
      <c r="A205" s="139"/>
      <c r="B205" s="142" t="s">
        <v>20</v>
      </c>
      <c r="C205" s="143">
        <f>C204*C191*3</f>
        <v>1287000</v>
      </c>
      <c r="D205" s="143">
        <f t="shared" ref="D205" si="267">D204*D191*3</f>
        <v>1287000</v>
      </c>
      <c r="E205" s="143">
        <f t="shared" ref="E205" si="268">E204*E191*3</f>
        <v>1287000</v>
      </c>
      <c r="F205" s="143">
        <f t="shared" ref="F205" si="269">F204*F191*3</f>
        <v>1449000</v>
      </c>
      <c r="G205" s="143">
        <f t="shared" ref="G205" si="270">G204*G191*3</f>
        <v>1449000</v>
      </c>
      <c r="H205" s="143">
        <f t="shared" ref="H205" si="271">H204*H191*3</f>
        <v>1449000</v>
      </c>
      <c r="I205" s="145">
        <f>SUM(C205:H205)</f>
        <v>8208000</v>
      </c>
    </row>
    <row r="207" spans="1:10" x14ac:dyDescent="0.25">
      <c r="J207" s="144" t="s">
        <v>27</v>
      </c>
    </row>
    <row r="208" spans="1:10" x14ac:dyDescent="0.25">
      <c r="A208" s="138" t="s">
        <v>37</v>
      </c>
      <c r="C208" s="144" t="s">
        <v>29</v>
      </c>
      <c r="D208" s="144" t="s">
        <v>30</v>
      </c>
      <c r="E208" s="144" t="s">
        <v>31</v>
      </c>
      <c r="F208" s="144" t="s">
        <v>32</v>
      </c>
      <c r="G208" s="144" t="s">
        <v>33</v>
      </c>
      <c r="H208" s="144" t="s">
        <v>34</v>
      </c>
      <c r="I208" s="144" t="s">
        <v>35</v>
      </c>
      <c r="J208" s="144" t="s">
        <v>26</v>
      </c>
    </row>
    <row r="209" spans="1:10" ht="16.5" x14ac:dyDescent="0.3">
      <c r="A209" s="139" t="s">
        <v>18</v>
      </c>
      <c r="B209" s="140"/>
      <c r="C209" s="140">
        <v>20</v>
      </c>
      <c r="D209" s="140">
        <v>20</v>
      </c>
      <c r="E209" s="140">
        <v>20</v>
      </c>
      <c r="F209" s="140">
        <v>20</v>
      </c>
      <c r="G209" s="140">
        <v>20</v>
      </c>
      <c r="H209" s="140">
        <v>20</v>
      </c>
      <c r="I209" s="140">
        <v>20</v>
      </c>
      <c r="J209" s="140">
        <f>SUM(C209:I209)</f>
        <v>140</v>
      </c>
    </row>
    <row r="210" spans="1:10" ht="16.5" x14ac:dyDescent="0.3">
      <c r="A210" s="139" t="s">
        <v>7</v>
      </c>
      <c r="B210" s="140" t="s">
        <v>19</v>
      </c>
      <c r="C210" s="140">
        <v>310359</v>
      </c>
      <c r="D210" s="140">
        <v>368241</v>
      </c>
      <c r="E210" s="140">
        <v>368241</v>
      </c>
      <c r="F210" s="140">
        <v>368241</v>
      </c>
      <c r="G210" s="140">
        <v>505419</v>
      </c>
      <c r="H210" s="140">
        <v>593051</v>
      </c>
      <c r="I210" s="140">
        <v>593051</v>
      </c>
      <c r="J210" s="140"/>
    </row>
    <row r="211" spans="1:10" ht="16.5" x14ac:dyDescent="0.3">
      <c r="A211" s="139"/>
      <c r="B211" s="142" t="s">
        <v>20</v>
      </c>
      <c r="C211" s="143">
        <f>C209*C210*3</f>
        <v>18621540</v>
      </c>
      <c r="D211" s="143">
        <f t="shared" ref="D211" si="272">D209*D210*3</f>
        <v>22094460</v>
      </c>
      <c r="E211" s="143">
        <f t="shared" ref="E211" si="273">E209*E210*3</f>
        <v>22094460</v>
      </c>
      <c r="F211" s="143">
        <f t="shared" ref="F211" si="274">F209*F210*3</f>
        <v>22094460</v>
      </c>
      <c r="G211" s="143">
        <f t="shared" ref="G211" si="275">G209*G210*3</f>
        <v>30325140</v>
      </c>
      <c r="H211" s="143">
        <f t="shared" ref="H211" si="276">H209*H210*3</f>
        <v>35583060</v>
      </c>
      <c r="I211" s="143">
        <f t="shared" ref="I211" si="277">I209*I210*3</f>
        <v>35583060</v>
      </c>
      <c r="J211" s="145">
        <f>SUM(C211:I211)</f>
        <v>186396180</v>
      </c>
    </row>
    <row r="212" spans="1:10" ht="16.5" x14ac:dyDescent="0.3">
      <c r="A212" s="139" t="s">
        <v>8</v>
      </c>
      <c r="B212" s="140"/>
      <c r="C212" s="140">
        <v>50000</v>
      </c>
      <c r="D212" s="140">
        <v>50000</v>
      </c>
      <c r="E212" s="140">
        <v>50000</v>
      </c>
      <c r="F212" s="140">
        <v>50000</v>
      </c>
      <c r="G212" s="140">
        <v>50000</v>
      </c>
      <c r="H212" s="140">
        <v>50000</v>
      </c>
      <c r="I212" s="140">
        <v>50000</v>
      </c>
      <c r="J212" s="140"/>
    </row>
    <row r="213" spans="1:10" ht="16.5" x14ac:dyDescent="0.3">
      <c r="A213" s="139"/>
      <c r="B213" s="142" t="s">
        <v>21</v>
      </c>
      <c r="C213" s="143">
        <f>C212*C209</f>
        <v>1000000</v>
      </c>
      <c r="D213" s="143">
        <f t="shared" ref="D213" si="278">D212*D209</f>
        <v>1000000</v>
      </c>
      <c r="E213" s="143">
        <f t="shared" ref="E213" si="279">E212*E209</f>
        <v>1000000</v>
      </c>
      <c r="F213" s="143">
        <f t="shared" ref="F213" si="280">F212*F209</f>
        <v>1000000</v>
      </c>
      <c r="G213" s="143">
        <f t="shared" ref="G213" si="281">G212*G209</f>
        <v>1000000</v>
      </c>
      <c r="H213" s="143">
        <f t="shared" ref="H213" si="282">H212*H209</f>
        <v>1000000</v>
      </c>
      <c r="I213" s="143">
        <f t="shared" ref="I213" si="283">I212*I209</f>
        <v>1000000</v>
      </c>
      <c r="J213" s="145">
        <f>SUM(C213:I213)</f>
        <v>7000000</v>
      </c>
    </row>
    <row r="214" spans="1:10" ht="16.5" x14ac:dyDescent="0.3">
      <c r="A214" s="139" t="s">
        <v>10</v>
      </c>
      <c r="B214" s="140"/>
      <c r="C214" s="140">
        <v>70000</v>
      </c>
      <c r="D214" s="140">
        <v>70000</v>
      </c>
      <c r="E214" s="140">
        <v>70000</v>
      </c>
      <c r="F214" s="140">
        <v>70000</v>
      </c>
      <c r="G214" s="140">
        <v>70000</v>
      </c>
      <c r="H214" s="140">
        <v>70000</v>
      </c>
      <c r="I214" s="140">
        <v>70000</v>
      </c>
      <c r="J214" s="140"/>
    </row>
    <row r="215" spans="1:10" ht="16.5" x14ac:dyDescent="0.3">
      <c r="A215" s="139"/>
      <c r="B215" s="142" t="s">
        <v>21</v>
      </c>
      <c r="C215" s="143">
        <f>C214*C209</f>
        <v>1400000</v>
      </c>
      <c r="D215" s="143">
        <f t="shared" ref="D215" si="284">D214*D209</f>
        <v>1400000</v>
      </c>
      <c r="E215" s="143">
        <f t="shared" ref="E215" si="285">E214*E209</f>
        <v>1400000</v>
      </c>
      <c r="F215" s="143">
        <f t="shared" ref="F215" si="286">F214*F209</f>
        <v>1400000</v>
      </c>
      <c r="G215" s="143">
        <f t="shared" ref="G215" si="287">G214*G209</f>
        <v>1400000</v>
      </c>
      <c r="H215" s="143">
        <f t="shared" ref="H215" si="288">H214*H209</f>
        <v>1400000</v>
      </c>
      <c r="I215" s="143">
        <f>I214*I209</f>
        <v>1400000</v>
      </c>
      <c r="J215" s="145">
        <f>SUM(C215:I215)</f>
        <v>9800000</v>
      </c>
    </row>
    <row r="216" spans="1:10" ht="16.5" x14ac:dyDescent="0.3">
      <c r="A216" s="139" t="s">
        <v>9</v>
      </c>
      <c r="B216" s="140"/>
      <c r="C216" s="140">
        <v>150000</v>
      </c>
      <c r="D216" s="140">
        <v>150000</v>
      </c>
      <c r="E216" s="140">
        <v>150000</v>
      </c>
      <c r="F216" s="140">
        <v>150000</v>
      </c>
      <c r="G216" s="140">
        <v>150000</v>
      </c>
      <c r="H216" s="140">
        <v>150000</v>
      </c>
      <c r="I216" s="140">
        <v>150000</v>
      </c>
      <c r="J216" s="140"/>
    </row>
    <row r="217" spans="1:10" ht="16.5" x14ac:dyDescent="0.3">
      <c r="A217" s="139"/>
      <c r="B217" s="142"/>
      <c r="C217" s="143">
        <f>C216*C209</f>
        <v>3000000</v>
      </c>
      <c r="D217" s="143">
        <f t="shared" ref="D217" si="289">D216*D209</f>
        <v>3000000</v>
      </c>
      <c r="E217" s="143">
        <f t="shared" ref="E217" si="290">E216*E209</f>
        <v>3000000</v>
      </c>
      <c r="F217" s="143">
        <f t="shared" ref="F217" si="291">F216*F209</f>
        <v>3000000</v>
      </c>
      <c r="G217" s="143">
        <f t="shared" ref="G217" si="292">G216*G209</f>
        <v>3000000</v>
      </c>
      <c r="H217" s="143">
        <f t="shared" ref="H217" si="293">H216*H209</f>
        <v>3000000</v>
      </c>
      <c r="I217" s="143">
        <f t="shared" ref="I217" si="294">I216*I209</f>
        <v>3000000</v>
      </c>
      <c r="J217" s="145">
        <f>SUM(C217:I217)</f>
        <v>21000000</v>
      </c>
    </row>
    <row r="218" spans="1:10" ht="16.5" x14ac:dyDescent="0.3">
      <c r="A218" s="139" t="s">
        <v>11</v>
      </c>
      <c r="B218" s="140" t="s">
        <v>19</v>
      </c>
      <c r="C218" s="140">
        <v>51000</v>
      </c>
      <c r="D218" s="140">
        <v>51000</v>
      </c>
      <c r="E218" s="140">
        <v>51000</v>
      </c>
      <c r="F218" s="140">
        <v>51000</v>
      </c>
      <c r="G218" s="140">
        <v>51000</v>
      </c>
      <c r="H218" s="140">
        <v>51000</v>
      </c>
      <c r="I218" s="140">
        <v>51000</v>
      </c>
      <c r="J218" s="140"/>
    </row>
    <row r="219" spans="1:10" ht="16.5" x14ac:dyDescent="0.3">
      <c r="A219" s="139"/>
      <c r="B219" s="142" t="s">
        <v>20</v>
      </c>
      <c r="C219" s="143">
        <f>C218*C209*3</f>
        <v>3060000</v>
      </c>
      <c r="D219" s="143">
        <f t="shared" ref="D219" si="295">D218*D209*3</f>
        <v>3060000</v>
      </c>
      <c r="E219" s="143">
        <f t="shared" ref="E219" si="296">E218*E209*3</f>
        <v>3060000</v>
      </c>
      <c r="F219" s="143">
        <f t="shared" ref="F219" si="297">F218*F209*3</f>
        <v>3060000</v>
      </c>
      <c r="G219" s="143">
        <f t="shared" ref="G219" si="298">G218*G209*3</f>
        <v>3060000</v>
      </c>
      <c r="H219" s="143">
        <f t="shared" ref="H219" si="299">H218*H209*3</f>
        <v>3060000</v>
      </c>
      <c r="I219" s="143">
        <f t="shared" ref="I219" si="300">I218*I209*3</f>
        <v>3060000</v>
      </c>
      <c r="J219" s="145">
        <f>SUM(C219:I219)</f>
        <v>21420000</v>
      </c>
    </row>
    <row r="220" spans="1:10" ht="16.5" x14ac:dyDescent="0.3">
      <c r="A220" s="139" t="s">
        <v>12</v>
      </c>
      <c r="B220" s="140" t="s">
        <v>19</v>
      </c>
      <c r="C220" s="140">
        <v>40250</v>
      </c>
      <c r="D220" s="140">
        <v>40250</v>
      </c>
      <c r="E220" s="140">
        <v>40250</v>
      </c>
      <c r="F220" s="140">
        <v>40250</v>
      </c>
      <c r="G220" s="140">
        <v>40250</v>
      </c>
      <c r="H220" s="140">
        <v>40250</v>
      </c>
      <c r="I220" s="140">
        <v>40250</v>
      </c>
      <c r="J220" s="140"/>
    </row>
    <row r="221" spans="1:10" ht="16.5" x14ac:dyDescent="0.3">
      <c r="A221" s="139"/>
      <c r="B221" s="142" t="s">
        <v>20</v>
      </c>
      <c r="C221" s="143">
        <f>C220*C209*3</f>
        <v>2415000</v>
      </c>
      <c r="D221" s="143">
        <f t="shared" ref="D221" si="301">D220*D209*3</f>
        <v>2415000</v>
      </c>
      <c r="E221" s="143">
        <f t="shared" ref="E221" si="302">E220*E209*3</f>
        <v>2415000</v>
      </c>
      <c r="F221" s="143">
        <f t="shared" ref="F221" si="303">F220*F209*3</f>
        <v>2415000</v>
      </c>
      <c r="G221" s="143">
        <f t="shared" ref="G221" si="304">G220*G209*3</f>
        <v>2415000</v>
      </c>
      <c r="H221" s="143">
        <f t="shared" ref="H221" si="305">H220*H209*3</f>
        <v>2415000</v>
      </c>
      <c r="I221" s="143">
        <f t="shared" ref="I221" si="306">I220*I209*3</f>
        <v>2415000</v>
      </c>
      <c r="J221" s="145">
        <f>SUM(C221:I221)</f>
        <v>16905000</v>
      </c>
    </row>
    <row r="222" spans="1:10" ht="16.5" x14ac:dyDescent="0.3">
      <c r="A222" s="139" t="s">
        <v>13</v>
      </c>
      <c r="B222" s="140" t="s">
        <v>19</v>
      </c>
      <c r="C222" s="140">
        <v>27600</v>
      </c>
      <c r="D222" s="140">
        <v>27600</v>
      </c>
      <c r="E222" s="140">
        <v>27600</v>
      </c>
      <c r="F222" s="140">
        <v>27600</v>
      </c>
      <c r="G222" s="140">
        <v>31050</v>
      </c>
      <c r="H222" s="140">
        <v>31050</v>
      </c>
      <c r="I222" s="140">
        <v>31050</v>
      </c>
      <c r="J222" s="140"/>
    </row>
    <row r="223" spans="1:10" ht="16.5" x14ac:dyDescent="0.3">
      <c r="A223" s="139"/>
      <c r="B223" s="142" t="s">
        <v>20</v>
      </c>
      <c r="C223" s="143">
        <f>C222*C209*3</f>
        <v>1656000</v>
      </c>
      <c r="D223" s="143">
        <f t="shared" ref="D223" si="307">D222*D209*3</f>
        <v>1656000</v>
      </c>
      <c r="E223" s="143">
        <f t="shared" ref="E223" si="308">E222*E209*3</f>
        <v>1656000</v>
      </c>
      <c r="F223" s="143">
        <f t="shared" ref="F223" si="309">F222*F209*3</f>
        <v>1656000</v>
      </c>
      <c r="G223" s="143">
        <f t="shared" ref="G223" si="310">G222*G209*3</f>
        <v>1863000</v>
      </c>
      <c r="H223" s="143">
        <f t="shared" ref="H223" si="311">H222*H209*3</f>
        <v>1863000</v>
      </c>
      <c r="I223" s="143">
        <f t="shared" ref="I223" si="312">I222*I209*3</f>
        <v>1863000</v>
      </c>
      <c r="J223" s="145">
        <f>SUM(C223:I223)</f>
        <v>12213000</v>
      </c>
    </row>
    <row r="226" spans="1:12" x14ac:dyDescent="0.25">
      <c r="B226" s="203" t="s">
        <v>4</v>
      </c>
      <c r="C226" s="203"/>
      <c r="D226" s="203"/>
      <c r="E226" s="203"/>
    </row>
    <row r="227" spans="1:12" x14ac:dyDescent="0.25">
      <c r="G227" s="137" t="s">
        <v>27</v>
      </c>
    </row>
    <row r="228" spans="1:12" x14ac:dyDescent="0.25">
      <c r="A228" s="138" t="s">
        <v>36</v>
      </c>
      <c r="C228" s="137" t="s">
        <v>22</v>
      </c>
      <c r="D228" s="137" t="s">
        <v>23</v>
      </c>
      <c r="E228" s="137" t="s">
        <v>24</v>
      </c>
      <c r="F228" s="137" t="s">
        <v>25</v>
      </c>
      <c r="G228" s="137" t="s">
        <v>26</v>
      </c>
    </row>
    <row r="229" spans="1:12" ht="16.5" x14ac:dyDescent="0.3">
      <c r="A229" s="139" t="s">
        <v>18</v>
      </c>
      <c r="B229" s="140"/>
      <c r="C229" s="140">
        <v>25</v>
      </c>
      <c r="D229" s="140">
        <v>25</v>
      </c>
      <c r="E229" s="140">
        <v>25</v>
      </c>
      <c r="F229" s="140">
        <v>25</v>
      </c>
      <c r="G229" s="140">
        <f>SUM(C229:F229)</f>
        <v>100</v>
      </c>
    </row>
    <row r="230" spans="1:12" ht="16.5" x14ac:dyDescent="0.3">
      <c r="A230" s="139" t="s">
        <v>7</v>
      </c>
      <c r="B230" s="140" t="s">
        <v>19</v>
      </c>
      <c r="C230" s="141">
        <v>92621.573329999999</v>
      </c>
      <c r="D230" s="141">
        <v>119362.72</v>
      </c>
      <c r="E230" s="141">
        <v>120456.667</v>
      </c>
      <c r="F230" s="141">
        <v>140087.09299999999</v>
      </c>
      <c r="G230" s="141"/>
    </row>
    <row r="231" spans="1:12" ht="16.5" x14ac:dyDescent="0.3">
      <c r="A231" s="139"/>
      <c r="B231" s="142" t="s">
        <v>20</v>
      </c>
      <c r="C231" s="143">
        <f>C229*C230*3</f>
        <v>6946617.9997500004</v>
      </c>
      <c r="D231" s="143">
        <f>D229*D230*3</f>
        <v>8952204</v>
      </c>
      <c r="E231" s="143">
        <f t="shared" ref="E231" si="313">E229*E230*3</f>
        <v>9034250.0249999985</v>
      </c>
      <c r="F231" s="143">
        <f t="shared" ref="F231" si="314">F229*F230*3</f>
        <v>10506531.975</v>
      </c>
      <c r="G231" s="143">
        <f>SUM(C231:F231)</f>
        <v>35439603.999749996</v>
      </c>
    </row>
    <row r="232" spans="1:12" ht="16.5" x14ac:dyDescent="0.3">
      <c r="A232" s="139" t="s">
        <v>8</v>
      </c>
      <c r="B232" s="140"/>
      <c r="C232" s="141">
        <v>50000</v>
      </c>
      <c r="D232" s="141">
        <v>50000</v>
      </c>
      <c r="E232" s="141">
        <v>50000</v>
      </c>
      <c r="F232" s="141">
        <v>50000</v>
      </c>
      <c r="G232" s="141"/>
      <c r="K232" s="146"/>
      <c r="L232" s="146"/>
    </row>
    <row r="233" spans="1:12" ht="16.5" x14ac:dyDescent="0.3">
      <c r="A233" s="139"/>
      <c r="B233" s="142" t="s">
        <v>21</v>
      </c>
      <c r="C233" s="143">
        <f>C232*C229</f>
        <v>1250000</v>
      </c>
      <c r="D233" s="143">
        <f t="shared" ref="D233" si="315">D232*D229</f>
        <v>1250000</v>
      </c>
      <c r="E233" s="143">
        <f t="shared" ref="E233" si="316">E232*E229</f>
        <v>1250000</v>
      </c>
      <c r="F233" s="143">
        <f t="shared" ref="F233" si="317">F232*F229</f>
        <v>1250000</v>
      </c>
      <c r="G233" s="143">
        <f>SUM(C233:F233)</f>
        <v>5000000</v>
      </c>
    </row>
    <row r="234" spans="1:12" ht="16.5" x14ac:dyDescent="0.3">
      <c r="A234" s="139" t="s">
        <v>10</v>
      </c>
      <c r="B234" s="140"/>
      <c r="C234" s="141">
        <v>70000</v>
      </c>
      <c r="D234" s="141">
        <v>70000</v>
      </c>
      <c r="E234" s="141">
        <v>70000</v>
      </c>
      <c r="F234" s="141">
        <v>70000</v>
      </c>
      <c r="G234" s="141"/>
    </row>
    <row r="235" spans="1:12" ht="16.5" x14ac:dyDescent="0.3">
      <c r="A235" s="139"/>
      <c r="B235" s="142" t="s">
        <v>21</v>
      </c>
      <c r="C235" s="143">
        <f>C234*C229</f>
        <v>1750000</v>
      </c>
      <c r="D235" s="143">
        <f t="shared" ref="D235" si="318">D234*D229</f>
        <v>1750000</v>
      </c>
      <c r="E235" s="143">
        <f t="shared" ref="E235" si="319">E234*E229</f>
        <v>1750000</v>
      </c>
      <c r="F235" s="143">
        <f t="shared" ref="F235" si="320">F234*F229</f>
        <v>1750000</v>
      </c>
      <c r="G235" s="143">
        <f>SUM(C235:F235)</f>
        <v>7000000</v>
      </c>
    </row>
    <row r="236" spans="1:12" ht="16.5" x14ac:dyDescent="0.3">
      <c r="A236" s="139" t="s">
        <v>9</v>
      </c>
      <c r="B236" s="140"/>
      <c r="C236" s="141">
        <v>150000</v>
      </c>
      <c r="D236" s="141">
        <v>150000</v>
      </c>
      <c r="E236" s="141">
        <v>150000</v>
      </c>
      <c r="F236" s="141">
        <v>150000</v>
      </c>
      <c r="G236" s="141"/>
    </row>
    <row r="237" spans="1:12" ht="16.5" x14ac:dyDescent="0.3">
      <c r="A237" s="139"/>
      <c r="B237" s="142"/>
      <c r="C237" s="143">
        <f>C236*C229</f>
        <v>3750000</v>
      </c>
      <c r="D237" s="143">
        <f t="shared" ref="D237" si="321">D236*D229</f>
        <v>3750000</v>
      </c>
      <c r="E237" s="143">
        <f t="shared" ref="E237" si="322">E236*E229</f>
        <v>3750000</v>
      </c>
      <c r="F237" s="143">
        <f t="shared" ref="F237" si="323">F236*F229</f>
        <v>3750000</v>
      </c>
      <c r="G237" s="143">
        <f>SUM(C237:F237)</f>
        <v>15000000</v>
      </c>
    </row>
    <row r="238" spans="1:12" ht="16.5" x14ac:dyDescent="0.3">
      <c r="A238" s="139" t="s">
        <v>11</v>
      </c>
      <c r="B238" s="140" t="s">
        <v>19</v>
      </c>
      <c r="C238" s="141">
        <v>42000</v>
      </c>
      <c r="D238" s="141">
        <v>42000</v>
      </c>
      <c r="E238" s="141">
        <v>42000</v>
      </c>
      <c r="F238" s="141">
        <v>42000</v>
      </c>
      <c r="G238" s="141"/>
    </row>
    <row r="239" spans="1:12" ht="16.5" x14ac:dyDescent="0.3">
      <c r="A239" s="139"/>
      <c r="B239" s="142" t="s">
        <v>20</v>
      </c>
      <c r="C239" s="143">
        <f>C238*C229*3</f>
        <v>3150000</v>
      </c>
      <c r="D239" s="143">
        <f t="shared" ref="D239" si="324">D238*D229*3</f>
        <v>3150000</v>
      </c>
      <c r="E239" s="143">
        <f t="shared" ref="E239" si="325">E238*E229*3</f>
        <v>3150000</v>
      </c>
      <c r="F239" s="143">
        <f t="shared" ref="F239" si="326">F238*F229*3</f>
        <v>3150000</v>
      </c>
      <c r="G239" s="143">
        <f>SUM(C239:F239)</f>
        <v>12600000</v>
      </c>
    </row>
    <row r="240" spans="1:12" ht="16.5" x14ac:dyDescent="0.3">
      <c r="A240" s="139" t="s">
        <v>12</v>
      </c>
      <c r="B240" s="140" t="s">
        <v>19</v>
      </c>
      <c r="C240" s="141">
        <v>32300</v>
      </c>
      <c r="D240" s="141">
        <v>32300</v>
      </c>
      <c r="E240" s="141">
        <v>32300</v>
      </c>
      <c r="F240" s="141">
        <v>32300</v>
      </c>
      <c r="G240" s="141"/>
    </row>
    <row r="241" spans="1:13" ht="16.5" x14ac:dyDescent="0.3">
      <c r="A241" s="139"/>
      <c r="B241" s="142" t="s">
        <v>20</v>
      </c>
      <c r="C241" s="143">
        <f>C240*C229*3</f>
        <v>2422500</v>
      </c>
      <c r="D241" s="143">
        <f t="shared" ref="D241" si="327">D240*D229*3</f>
        <v>2422500</v>
      </c>
      <c r="E241" s="143">
        <f t="shared" ref="E241" si="328">E240*E229*3</f>
        <v>2422500</v>
      </c>
      <c r="F241" s="143">
        <f t="shared" ref="F241" si="329">F240*F229*3</f>
        <v>2422500</v>
      </c>
      <c r="G241" s="143">
        <f>SUM(C241:F241)</f>
        <v>9690000</v>
      </c>
    </row>
    <row r="242" spans="1:13" ht="16.5" x14ac:dyDescent="0.3">
      <c r="A242" s="139" t="s">
        <v>13</v>
      </c>
      <c r="B242" s="140" t="s">
        <v>19</v>
      </c>
      <c r="C242" s="141">
        <v>13500</v>
      </c>
      <c r="D242" s="141">
        <v>13500</v>
      </c>
      <c r="E242" s="141">
        <v>13500</v>
      </c>
      <c r="F242" s="141">
        <v>13500</v>
      </c>
      <c r="G242" s="141"/>
    </row>
    <row r="243" spans="1:13" ht="16.5" x14ac:dyDescent="0.3">
      <c r="A243" s="139"/>
      <c r="B243" s="142" t="s">
        <v>20</v>
      </c>
      <c r="C243" s="143">
        <f>C242*C229*3</f>
        <v>1012500</v>
      </c>
      <c r="D243" s="143">
        <f t="shared" ref="D243" si="330">D242*D229*3</f>
        <v>1012500</v>
      </c>
      <c r="E243" s="143">
        <f t="shared" ref="E243" si="331">E242*E229*3</f>
        <v>1012500</v>
      </c>
      <c r="F243" s="143">
        <f t="shared" ref="F243" si="332">F242*F229*3</f>
        <v>1012500</v>
      </c>
      <c r="G243" s="143">
        <f>SUM(C243:F243)</f>
        <v>4050000</v>
      </c>
    </row>
    <row r="245" spans="1:13" x14ac:dyDescent="0.25">
      <c r="I245" s="144" t="s">
        <v>27</v>
      </c>
    </row>
    <row r="246" spans="1:13" x14ac:dyDescent="0.25">
      <c r="A246" s="138" t="s">
        <v>38</v>
      </c>
      <c r="C246" s="144" t="s">
        <v>0</v>
      </c>
      <c r="D246" s="144" t="s">
        <v>1</v>
      </c>
      <c r="E246" s="144" t="s">
        <v>2</v>
      </c>
      <c r="F246" s="144" t="s">
        <v>3</v>
      </c>
      <c r="G246" s="144" t="s">
        <v>4</v>
      </c>
      <c r="H246" s="144" t="s">
        <v>28</v>
      </c>
      <c r="I246" s="144" t="s">
        <v>26</v>
      </c>
    </row>
    <row r="247" spans="1:13" ht="16.5" x14ac:dyDescent="0.3">
      <c r="A247" s="139" t="s">
        <v>18</v>
      </c>
      <c r="B247" s="140"/>
      <c r="C247" s="140">
        <v>25</v>
      </c>
      <c r="D247" s="140">
        <v>25</v>
      </c>
      <c r="E247" s="140">
        <v>25</v>
      </c>
      <c r="F247" s="140">
        <v>25</v>
      </c>
      <c r="G247" s="140">
        <v>25</v>
      </c>
      <c r="H247" s="140">
        <v>25</v>
      </c>
      <c r="I247" s="140">
        <f>SUM(C247:H247)</f>
        <v>150</v>
      </c>
    </row>
    <row r="248" spans="1:13" ht="16.5" x14ac:dyDescent="0.3">
      <c r="A248" s="139" t="s">
        <v>7</v>
      </c>
      <c r="B248" s="140" t="s">
        <v>19</v>
      </c>
      <c r="C248" s="147">
        <v>164093.34669999999</v>
      </c>
      <c r="D248" s="148">
        <v>204448.15</v>
      </c>
      <c r="E248" s="148">
        <v>261698.49</v>
      </c>
      <c r="F248" s="148">
        <v>261698.49</v>
      </c>
      <c r="G248" s="148">
        <v>261698.49</v>
      </c>
      <c r="H248" s="148">
        <v>284428.46999999997</v>
      </c>
      <c r="I248" s="140"/>
    </row>
    <row r="249" spans="1:13" ht="16.5" x14ac:dyDescent="0.3">
      <c r="A249" s="139"/>
      <c r="B249" s="142" t="s">
        <v>20</v>
      </c>
      <c r="C249" s="143">
        <f>C247*C248*3</f>
        <v>12307001.002499999</v>
      </c>
      <c r="D249" s="143">
        <f t="shared" ref="D249" si="333">D247*D248*3</f>
        <v>15333611.25</v>
      </c>
      <c r="E249" s="143">
        <f t="shared" ref="E249" si="334">E247*E248*3</f>
        <v>19627386.75</v>
      </c>
      <c r="F249" s="143">
        <f t="shared" ref="F249" si="335">F247*F248*3</f>
        <v>19627386.75</v>
      </c>
      <c r="G249" s="143">
        <f t="shared" ref="G249" si="336">G247*G248*3</f>
        <v>19627386.75</v>
      </c>
      <c r="H249" s="143">
        <f t="shared" ref="H249" si="337">H247*H248*3</f>
        <v>21332135.249999996</v>
      </c>
      <c r="I249" s="145">
        <f>SUM(C249:H249)</f>
        <v>107854907.7525</v>
      </c>
    </row>
    <row r="250" spans="1:13" ht="16.5" x14ac:dyDescent="0.3">
      <c r="A250" s="139" t="s">
        <v>8</v>
      </c>
      <c r="B250" s="140"/>
      <c r="C250" s="140">
        <v>50000</v>
      </c>
      <c r="D250" s="140">
        <v>50000</v>
      </c>
      <c r="E250" s="140">
        <v>50000</v>
      </c>
      <c r="F250" s="140">
        <v>50000</v>
      </c>
      <c r="G250" s="140">
        <v>50000</v>
      </c>
      <c r="H250" s="140">
        <v>50000</v>
      </c>
      <c r="I250" s="140"/>
      <c r="M250" s="149"/>
    </row>
    <row r="251" spans="1:13" ht="16.5" x14ac:dyDescent="0.3">
      <c r="A251" s="139"/>
      <c r="B251" s="142" t="s">
        <v>21</v>
      </c>
      <c r="C251" s="143">
        <f>C250*C247</f>
        <v>1250000</v>
      </c>
      <c r="D251" s="143">
        <f t="shared" ref="D251" si="338">D250*D247</f>
        <v>1250000</v>
      </c>
      <c r="E251" s="143">
        <f t="shared" ref="E251" si="339">E250*E247</f>
        <v>1250000</v>
      </c>
      <c r="F251" s="143">
        <f t="shared" ref="F251" si="340">F250*F247</f>
        <v>1250000</v>
      </c>
      <c r="G251" s="143">
        <f>G250*G247</f>
        <v>1250000</v>
      </c>
      <c r="H251" s="143">
        <f>H250*H247</f>
        <v>1250000</v>
      </c>
      <c r="I251" s="145">
        <f>SUM(C251:H251)</f>
        <v>7500000</v>
      </c>
    </row>
    <row r="252" spans="1:13" ht="16.5" x14ac:dyDescent="0.3">
      <c r="A252" s="139" t="s">
        <v>10</v>
      </c>
      <c r="B252" s="140"/>
      <c r="C252" s="140">
        <v>70000</v>
      </c>
      <c r="D252" s="140">
        <v>70000</v>
      </c>
      <c r="E252" s="140">
        <v>70000</v>
      </c>
      <c r="F252" s="140">
        <v>70000</v>
      </c>
      <c r="G252" s="140">
        <v>70000</v>
      </c>
      <c r="H252" s="140">
        <v>70000</v>
      </c>
      <c r="I252" s="140"/>
    </row>
    <row r="253" spans="1:13" ht="16.5" x14ac:dyDescent="0.3">
      <c r="A253" s="139"/>
      <c r="B253" s="142" t="s">
        <v>21</v>
      </c>
      <c r="C253" s="143">
        <f>C252*C247</f>
        <v>1750000</v>
      </c>
      <c r="D253" s="143">
        <f t="shared" ref="D253" si="341">D252*D247</f>
        <v>1750000</v>
      </c>
      <c r="E253" s="143">
        <f t="shared" ref="E253" si="342">E252*E247</f>
        <v>1750000</v>
      </c>
      <c r="F253" s="143">
        <f t="shared" ref="F253" si="343">F252*F247</f>
        <v>1750000</v>
      </c>
      <c r="G253" s="143">
        <f t="shared" ref="G253" si="344">G252*G247</f>
        <v>1750000</v>
      </c>
      <c r="H253" s="143">
        <f t="shared" ref="H253" si="345">H252*H247</f>
        <v>1750000</v>
      </c>
      <c r="I253" s="145">
        <f>SUM(C253:H253)</f>
        <v>10500000</v>
      </c>
    </row>
    <row r="254" spans="1:13" ht="16.5" x14ac:dyDescent="0.3">
      <c r="A254" s="139" t="s">
        <v>9</v>
      </c>
      <c r="B254" s="140"/>
      <c r="C254" s="140">
        <v>150000</v>
      </c>
      <c r="D254" s="140">
        <v>150000</v>
      </c>
      <c r="E254" s="140">
        <v>150000</v>
      </c>
      <c r="F254" s="140">
        <v>150000</v>
      </c>
      <c r="G254" s="140">
        <v>150000</v>
      </c>
      <c r="H254" s="140">
        <v>150000</v>
      </c>
      <c r="I254" s="140"/>
    </row>
    <row r="255" spans="1:13" ht="16.5" x14ac:dyDescent="0.3">
      <c r="A255" s="139"/>
      <c r="B255" s="142"/>
      <c r="C255" s="143">
        <f>C254*C247</f>
        <v>3750000</v>
      </c>
      <c r="D255" s="143">
        <f t="shared" ref="D255" si="346">D254*D247</f>
        <v>3750000</v>
      </c>
      <c r="E255" s="143">
        <f t="shared" ref="E255" si="347">E254*E247</f>
        <v>3750000</v>
      </c>
      <c r="F255" s="143">
        <f t="shared" ref="F255" si="348">F254*F247</f>
        <v>3750000</v>
      </c>
      <c r="G255" s="143">
        <f t="shared" ref="G255" si="349">G254*G247</f>
        <v>3750000</v>
      </c>
      <c r="H255" s="143">
        <f t="shared" ref="H255" si="350">H254*H247</f>
        <v>3750000</v>
      </c>
      <c r="I255" s="145">
        <f>SUM(C255:H255)</f>
        <v>22500000</v>
      </c>
    </row>
    <row r="256" spans="1:13" ht="16.5" x14ac:dyDescent="0.3">
      <c r="A256" s="139" t="s">
        <v>11</v>
      </c>
      <c r="B256" s="140" t="s">
        <v>19</v>
      </c>
      <c r="C256" s="140">
        <v>46500</v>
      </c>
      <c r="D256" s="140">
        <v>46500</v>
      </c>
      <c r="E256" s="140">
        <v>46500</v>
      </c>
      <c r="F256" s="140">
        <v>46500</v>
      </c>
      <c r="G256" s="140">
        <v>46500</v>
      </c>
      <c r="H256" s="140">
        <v>46500</v>
      </c>
      <c r="I256" s="140"/>
    </row>
    <row r="257" spans="1:11" ht="16.5" x14ac:dyDescent="0.3">
      <c r="A257" s="139"/>
      <c r="B257" s="142" t="s">
        <v>20</v>
      </c>
      <c r="C257" s="143">
        <f>C256*C247*3</f>
        <v>3487500</v>
      </c>
      <c r="D257" s="143">
        <f t="shared" ref="D257" si="351">D256*D247*3</f>
        <v>3487500</v>
      </c>
      <c r="E257" s="143">
        <f t="shared" ref="E257" si="352">E256*E247*3</f>
        <v>3487500</v>
      </c>
      <c r="F257" s="143">
        <f t="shared" ref="F257" si="353">F256*F247*3</f>
        <v>3487500</v>
      </c>
      <c r="G257" s="143">
        <f t="shared" ref="G257" si="354">G256*G247*3</f>
        <v>3487500</v>
      </c>
      <c r="H257" s="143">
        <f t="shared" ref="H257" si="355">H256*H247*3</f>
        <v>3487500</v>
      </c>
      <c r="I257" s="145">
        <f>SUM(C257:H257)</f>
        <v>20925000</v>
      </c>
    </row>
    <row r="258" spans="1:11" ht="16.5" x14ac:dyDescent="0.3">
      <c r="A258" s="139" t="s">
        <v>12</v>
      </c>
      <c r="B258" s="140" t="s">
        <v>19</v>
      </c>
      <c r="C258" s="140">
        <v>37150</v>
      </c>
      <c r="D258" s="140">
        <v>37150</v>
      </c>
      <c r="E258" s="140">
        <v>37150</v>
      </c>
      <c r="F258" s="140">
        <v>37150</v>
      </c>
      <c r="G258" s="140">
        <v>37150</v>
      </c>
      <c r="H258" s="140">
        <v>37150</v>
      </c>
      <c r="I258" s="140"/>
    </row>
    <row r="259" spans="1:11" ht="16.5" x14ac:dyDescent="0.3">
      <c r="A259" s="139"/>
      <c r="B259" s="142" t="s">
        <v>20</v>
      </c>
      <c r="C259" s="143">
        <f>C258*C247*3</f>
        <v>2786250</v>
      </c>
      <c r="D259" s="143">
        <f t="shared" ref="D259" si="356">D258*D247*3</f>
        <v>2786250</v>
      </c>
      <c r="E259" s="143">
        <f t="shared" ref="E259" si="357">E258*E247*3</f>
        <v>2786250</v>
      </c>
      <c r="F259" s="143">
        <f t="shared" ref="F259" si="358">F258*F247*3</f>
        <v>2786250</v>
      </c>
      <c r="G259" s="143">
        <f t="shared" ref="G259" si="359">G258*G247*3</f>
        <v>2786250</v>
      </c>
      <c r="H259" s="143">
        <f t="shared" ref="H259" si="360">H258*H247*3</f>
        <v>2786250</v>
      </c>
      <c r="I259" s="145">
        <f>SUM(C259:H259)</f>
        <v>16717500</v>
      </c>
    </row>
    <row r="260" spans="1:11" ht="16.5" x14ac:dyDescent="0.3">
      <c r="A260" s="139" t="s">
        <v>13</v>
      </c>
      <c r="B260" s="140" t="s">
        <v>19</v>
      </c>
      <c r="C260" s="140">
        <v>21450</v>
      </c>
      <c r="D260" s="140">
        <v>21450</v>
      </c>
      <c r="E260" s="140">
        <v>21450</v>
      </c>
      <c r="F260" s="140">
        <v>24150</v>
      </c>
      <c r="G260" s="140">
        <v>24150</v>
      </c>
      <c r="H260" s="140">
        <v>24150</v>
      </c>
      <c r="I260" s="140"/>
    </row>
    <row r="261" spans="1:11" ht="16.5" x14ac:dyDescent="0.3">
      <c r="A261" s="139"/>
      <c r="B261" s="142" t="s">
        <v>20</v>
      </c>
      <c r="C261" s="143">
        <f>C260*C247*3</f>
        <v>1608750</v>
      </c>
      <c r="D261" s="143">
        <f t="shared" ref="D261" si="361">D260*D247*3</f>
        <v>1608750</v>
      </c>
      <c r="E261" s="143">
        <f t="shared" ref="E261" si="362">E260*E247*3</f>
        <v>1608750</v>
      </c>
      <c r="F261" s="143">
        <f t="shared" ref="F261" si="363">F260*F247*3</f>
        <v>1811250</v>
      </c>
      <c r="G261" s="143">
        <f t="shared" ref="G261" si="364">G260*G247*3</f>
        <v>1811250</v>
      </c>
      <c r="H261" s="143">
        <f t="shared" ref="H261" si="365">H260*H247*3</f>
        <v>1811250</v>
      </c>
      <c r="I261" s="145">
        <f>SUM(C261:H261)</f>
        <v>10260000</v>
      </c>
    </row>
    <row r="263" spans="1:11" x14ac:dyDescent="0.25">
      <c r="J263" s="144" t="s">
        <v>27</v>
      </c>
    </row>
    <row r="264" spans="1:11" x14ac:dyDescent="0.25">
      <c r="A264" s="138" t="s">
        <v>37</v>
      </c>
      <c r="C264" s="144" t="s">
        <v>29</v>
      </c>
      <c r="D264" s="144" t="s">
        <v>30</v>
      </c>
      <c r="E264" s="144" t="s">
        <v>31</v>
      </c>
      <c r="F264" s="144" t="s">
        <v>32</v>
      </c>
      <c r="G264" s="144" t="s">
        <v>33</v>
      </c>
      <c r="H264" s="144" t="s">
        <v>34</v>
      </c>
      <c r="I264" s="144" t="s">
        <v>35</v>
      </c>
      <c r="J264" s="144" t="s">
        <v>26</v>
      </c>
    </row>
    <row r="265" spans="1:11" ht="16.5" x14ac:dyDescent="0.3">
      <c r="A265" s="139" t="s">
        <v>18</v>
      </c>
      <c r="B265" s="140"/>
      <c r="C265" s="140">
        <v>25</v>
      </c>
      <c r="D265" s="140">
        <v>25</v>
      </c>
      <c r="E265" s="140">
        <v>25</v>
      </c>
      <c r="F265" s="140">
        <v>25</v>
      </c>
      <c r="G265" s="140">
        <v>25</v>
      </c>
      <c r="H265" s="140">
        <v>25</v>
      </c>
      <c r="I265" s="140">
        <v>25</v>
      </c>
      <c r="J265" s="140">
        <f>SUM(C265:I265)</f>
        <v>175</v>
      </c>
    </row>
    <row r="266" spans="1:11" ht="16.5" x14ac:dyDescent="0.3">
      <c r="A266" s="139" t="s">
        <v>7</v>
      </c>
      <c r="B266" s="140" t="s">
        <v>19</v>
      </c>
      <c r="C266" s="140">
        <v>325877.23</v>
      </c>
      <c r="D266" s="140">
        <v>386652.53</v>
      </c>
      <c r="E266" s="140">
        <v>386652.53</v>
      </c>
      <c r="F266" s="140">
        <v>386652.53</v>
      </c>
      <c r="G266" s="140">
        <v>530690.03</v>
      </c>
      <c r="H266" s="140">
        <v>622703.85</v>
      </c>
      <c r="I266" s="140">
        <v>622703.85</v>
      </c>
      <c r="J266" s="140"/>
    </row>
    <row r="267" spans="1:11" ht="16.5" x14ac:dyDescent="0.3">
      <c r="A267" s="139"/>
      <c r="B267" s="142" t="s">
        <v>20</v>
      </c>
      <c r="C267" s="143">
        <f>C265*C266*3</f>
        <v>24440792.25</v>
      </c>
      <c r="D267" s="143">
        <f t="shared" ref="D267" si="366">D265*D266*3</f>
        <v>28998939.75</v>
      </c>
      <c r="E267" s="143">
        <f t="shared" ref="E267" si="367">E265*E266*3</f>
        <v>28998939.75</v>
      </c>
      <c r="F267" s="143">
        <f t="shared" ref="F267" si="368">F265*F266*3</f>
        <v>28998939.75</v>
      </c>
      <c r="G267" s="143">
        <f t="shared" ref="G267" si="369">G265*G266*3</f>
        <v>39801752.25</v>
      </c>
      <c r="H267" s="143">
        <f t="shared" ref="H267" si="370">H265*H266*3</f>
        <v>46702788.75</v>
      </c>
      <c r="I267" s="143">
        <f t="shared" ref="I267" si="371">I265*I266*3</f>
        <v>46702788.75</v>
      </c>
      <c r="J267" s="145">
        <f>SUM(C267:I267)</f>
        <v>244644941.25</v>
      </c>
      <c r="K267" s="150"/>
    </row>
    <row r="268" spans="1:11" ht="16.5" x14ac:dyDescent="0.3">
      <c r="A268" s="139" t="s">
        <v>8</v>
      </c>
      <c r="B268" s="140"/>
      <c r="C268" s="140">
        <v>50000</v>
      </c>
      <c r="D268" s="140">
        <v>50000</v>
      </c>
      <c r="E268" s="140">
        <v>50000</v>
      </c>
      <c r="F268" s="140">
        <v>50000</v>
      </c>
      <c r="G268" s="140">
        <v>50000</v>
      </c>
      <c r="H268" s="140">
        <v>50000</v>
      </c>
      <c r="I268" s="140">
        <v>50000</v>
      </c>
      <c r="J268" s="140"/>
    </row>
    <row r="269" spans="1:11" ht="16.5" x14ac:dyDescent="0.3">
      <c r="A269" s="139"/>
      <c r="B269" s="142" t="s">
        <v>21</v>
      </c>
      <c r="C269" s="143">
        <f>C268*C265</f>
        <v>1250000</v>
      </c>
      <c r="D269" s="143">
        <f t="shared" ref="D269" si="372">D268*D265</f>
        <v>1250000</v>
      </c>
      <c r="E269" s="143">
        <f t="shared" ref="E269" si="373">E268*E265</f>
        <v>1250000</v>
      </c>
      <c r="F269" s="143">
        <f t="shared" ref="F269" si="374">F268*F265</f>
        <v>1250000</v>
      </c>
      <c r="G269" s="143">
        <f t="shared" ref="G269" si="375">G268*G265</f>
        <v>1250000</v>
      </c>
      <c r="H269" s="143">
        <f t="shared" ref="H269" si="376">H268*H265</f>
        <v>1250000</v>
      </c>
      <c r="I269" s="143">
        <f t="shared" ref="I269" si="377">I268*I265</f>
        <v>1250000</v>
      </c>
      <c r="J269" s="145">
        <f>SUM(C269:I269)</f>
        <v>8750000</v>
      </c>
    </row>
    <row r="270" spans="1:11" ht="16.5" x14ac:dyDescent="0.3">
      <c r="A270" s="139" t="s">
        <v>10</v>
      </c>
      <c r="B270" s="140"/>
      <c r="C270" s="140">
        <v>70000</v>
      </c>
      <c r="D270" s="140">
        <v>70000</v>
      </c>
      <c r="E270" s="140">
        <v>70000</v>
      </c>
      <c r="F270" s="140">
        <v>70000</v>
      </c>
      <c r="G270" s="140">
        <v>70000</v>
      </c>
      <c r="H270" s="140">
        <v>70000</v>
      </c>
      <c r="I270" s="140">
        <v>70000</v>
      </c>
      <c r="J270" s="140"/>
    </row>
    <row r="271" spans="1:11" ht="16.5" x14ac:dyDescent="0.3">
      <c r="A271" s="139"/>
      <c r="B271" s="142" t="s">
        <v>21</v>
      </c>
      <c r="C271" s="143">
        <f>C270*C265</f>
        <v>1750000</v>
      </c>
      <c r="D271" s="143">
        <f t="shared" ref="D271" si="378">D270*D265</f>
        <v>1750000</v>
      </c>
      <c r="E271" s="143">
        <f t="shared" ref="E271" si="379">E270*E265</f>
        <v>1750000</v>
      </c>
      <c r="F271" s="143">
        <f t="shared" ref="F271" si="380">F270*F265</f>
        <v>1750000</v>
      </c>
      <c r="G271" s="143">
        <f t="shared" ref="G271" si="381">G270*G265</f>
        <v>1750000</v>
      </c>
      <c r="H271" s="143">
        <f t="shared" ref="H271" si="382">H270*H265</f>
        <v>1750000</v>
      </c>
      <c r="I271" s="143">
        <f>I270*I265</f>
        <v>1750000</v>
      </c>
      <c r="J271" s="145">
        <f>SUM(C271:I271)</f>
        <v>12250000</v>
      </c>
    </row>
    <row r="272" spans="1:11" ht="16.5" x14ac:dyDescent="0.3">
      <c r="A272" s="139" t="s">
        <v>9</v>
      </c>
      <c r="B272" s="140"/>
      <c r="C272" s="140">
        <v>150000</v>
      </c>
      <c r="D272" s="140">
        <v>150000</v>
      </c>
      <c r="E272" s="140">
        <v>150000</v>
      </c>
      <c r="F272" s="140">
        <v>150000</v>
      </c>
      <c r="G272" s="140">
        <v>150000</v>
      </c>
      <c r="H272" s="140">
        <v>150000</v>
      </c>
      <c r="I272" s="140">
        <v>150000</v>
      </c>
      <c r="J272" s="140"/>
    </row>
    <row r="273" spans="1:10" ht="16.5" x14ac:dyDescent="0.3">
      <c r="A273" s="139"/>
      <c r="B273" s="142"/>
      <c r="C273" s="143">
        <f>C272*C265</f>
        <v>3750000</v>
      </c>
      <c r="D273" s="143">
        <f t="shared" ref="D273" si="383">D272*D265</f>
        <v>3750000</v>
      </c>
      <c r="E273" s="143">
        <f t="shared" ref="E273" si="384">E272*E265</f>
        <v>3750000</v>
      </c>
      <c r="F273" s="143">
        <f t="shared" ref="F273" si="385">F272*F265</f>
        <v>3750000</v>
      </c>
      <c r="G273" s="143">
        <f t="shared" ref="G273" si="386">G272*G265</f>
        <v>3750000</v>
      </c>
      <c r="H273" s="143">
        <f t="shared" ref="H273" si="387">H272*H265</f>
        <v>3750000</v>
      </c>
      <c r="I273" s="143">
        <f t="shared" ref="I273" si="388">I272*I265</f>
        <v>3750000</v>
      </c>
      <c r="J273" s="145">
        <f>SUM(C273:I273)</f>
        <v>26250000</v>
      </c>
    </row>
    <row r="274" spans="1:10" ht="16.5" x14ac:dyDescent="0.3">
      <c r="A274" s="139" t="s">
        <v>11</v>
      </c>
      <c r="B274" s="140" t="s">
        <v>19</v>
      </c>
      <c r="C274" s="140">
        <v>51000</v>
      </c>
      <c r="D274" s="140">
        <v>51000</v>
      </c>
      <c r="E274" s="140">
        <v>51000</v>
      </c>
      <c r="F274" s="140">
        <v>51000</v>
      </c>
      <c r="G274" s="140">
        <v>51000</v>
      </c>
      <c r="H274" s="140">
        <v>51000</v>
      </c>
      <c r="I274" s="140">
        <v>51000</v>
      </c>
      <c r="J274" s="140"/>
    </row>
    <row r="275" spans="1:10" ht="16.5" x14ac:dyDescent="0.3">
      <c r="A275" s="139"/>
      <c r="B275" s="142" t="s">
        <v>20</v>
      </c>
      <c r="C275" s="143">
        <f>C274*C265*3</f>
        <v>3825000</v>
      </c>
      <c r="D275" s="143">
        <f t="shared" ref="D275" si="389">D274*D265*3</f>
        <v>3825000</v>
      </c>
      <c r="E275" s="143">
        <f t="shared" ref="E275" si="390">E274*E265*3</f>
        <v>3825000</v>
      </c>
      <c r="F275" s="143">
        <f t="shared" ref="F275" si="391">F274*F265*3</f>
        <v>3825000</v>
      </c>
      <c r="G275" s="143">
        <f t="shared" ref="G275" si="392">G274*G265*3</f>
        <v>3825000</v>
      </c>
      <c r="H275" s="143">
        <f t="shared" ref="H275" si="393">H274*H265*3</f>
        <v>3825000</v>
      </c>
      <c r="I275" s="143">
        <f t="shared" ref="I275" si="394">I274*I265*3</f>
        <v>3825000</v>
      </c>
      <c r="J275" s="145">
        <f>SUM(C275:I275)</f>
        <v>26775000</v>
      </c>
    </row>
    <row r="276" spans="1:10" ht="16.5" x14ac:dyDescent="0.3">
      <c r="A276" s="139" t="s">
        <v>12</v>
      </c>
      <c r="B276" s="140" t="s">
        <v>19</v>
      </c>
      <c r="C276" s="140">
        <v>40250</v>
      </c>
      <c r="D276" s="140">
        <v>40250</v>
      </c>
      <c r="E276" s="140">
        <v>40250</v>
      </c>
      <c r="F276" s="140">
        <v>40250</v>
      </c>
      <c r="G276" s="140">
        <v>40250</v>
      </c>
      <c r="H276" s="140">
        <v>40250</v>
      </c>
      <c r="I276" s="140">
        <v>40250</v>
      </c>
      <c r="J276" s="140"/>
    </row>
    <row r="277" spans="1:10" ht="16.5" x14ac:dyDescent="0.3">
      <c r="A277" s="139"/>
      <c r="B277" s="142" t="s">
        <v>20</v>
      </c>
      <c r="C277" s="143">
        <f>C276*C265*3</f>
        <v>3018750</v>
      </c>
      <c r="D277" s="143">
        <f t="shared" ref="D277" si="395">D276*D265*3</f>
        <v>3018750</v>
      </c>
      <c r="E277" s="143">
        <f t="shared" ref="E277" si="396">E276*E265*3</f>
        <v>3018750</v>
      </c>
      <c r="F277" s="143">
        <f t="shared" ref="F277" si="397">F276*F265*3</f>
        <v>3018750</v>
      </c>
      <c r="G277" s="143">
        <f t="shared" ref="G277" si="398">G276*G265*3</f>
        <v>3018750</v>
      </c>
      <c r="H277" s="143">
        <f t="shared" ref="H277" si="399">H276*H265*3</f>
        <v>3018750</v>
      </c>
      <c r="I277" s="143">
        <f t="shared" ref="I277" si="400">I276*I265*3</f>
        <v>3018750</v>
      </c>
      <c r="J277" s="145">
        <f>SUM(C277:I277)</f>
        <v>21131250</v>
      </c>
    </row>
    <row r="278" spans="1:10" ht="16.5" x14ac:dyDescent="0.3">
      <c r="A278" s="139" t="s">
        <v>13</v>
      </c>
      <c r="B278" s="140" t="s">
        <v>19</v>
      </c>
      <c r="C278" s="140">
        <v>27600</v>
      </c>
      <c r="D278" s="140">
        <v>27600</v>
      </c>
      <c r="E278" s="140">
        <v>27600</v>
      </c>
      <c r="F278" s="140">
        <v>27600</v>
      </c>
      <c r="G278" s="140">
        <v>31050</v>
      </c>
      <c r="H278" s="140">
        <v>31050</v>
      </c>
      <c r="I278" s="140">
        <v>31050</v>
      </c>
      <c r="J278" s="140"/>
    </row>
    <row r="279" spans="1:10" ht="16.5" x14ac:dyDescent="0.3">
      <c r="A279" s="139"/>
      <c r="B279" s="142" t="s">
        <v>20</v>
      </c>
      <c r="C279" s="143">
        <f>C278*C265*3</f>
        <v>2070000</v>
      </c>
      <c r="D279" s="143">
        <f t="shared" ref="D279" si="401">D278*D265*3</f>
        <v>2070000</v>
      </c>
      <c r="E279" s="143">
        <f t="shared" ref="E279" si="402">E278*E265*3</f>
        <v>2070000</v>
      </c>
      <c r="F279" s="143">
        <f t="shared" ref="F279" si="403">F278*F265*3</f>
        <v>2070000</v>
      </c>
      <c r="G279" s="143">
        <f t="shared" ref="G279" si="404">G278*G265*3</f>
        <v>2328750</v>
      </c>
      <c r="H279" s="143">
        <f t="shared" ref="H279" si="405">H278*H265*3</f>
        <v>2328750</v>
      </c>
      <c r="I279" s="143">
        <f t="shared" ref="I279" si="406">I278*I265*3</f>
        <v>2328750</v>
      </c>
      <c r="J279" s="145">
        <f>SUM(C279:I279)</f>
        <v>15266250</v>
      </c>
    </row>
    <row r="282" spans="1:10" x14ac:dyDescent="0.25">
      <c r="A282" s="162" t="s">
        <v>202</v>
      </c>
      <c r="B282" s="160">
        <v>0.17</v>
      </c>
      <c r="D282" s="163" t="s">
        <v>207</v>
      </c>
      <c r="E282" s="163" t="s">
        <v>205</v>
      </c>
      <c r="F282" s="163" t="s">
        <v>178</v>
      </c>
      <c r="G282" s="163" t="s">
        <v>208</v>
      </c>
      <c r="H282" s="163" t="s">
        <v>203</v>
      </c>
    </row>
    <row r="283" spans="1:10" x14ac:dyDescent="0.25">
      <c r="A283" s="162" t="s">
        <v>203</v>
      </c>
      <c r="B283" s="161">
        <f>IFERROR(IF('Financial Modelling'!B4=2,(B290+B292),(B290+B291)),0)</f>
        <v>312000000</v>
      </c>
      <c r="D283" s="140">
        <v>0</v>
      </c>
      <c r="E283" s="140"/>
      <c r="F283" s="140"/>
      <c r="G283" s="140"/>
      <c r="H283" s="152">
        <f>B283</f>
        <v>312000000</v>
      </c>
    </row>
    <row r="284" spans="1:10" x14ac:dyDescent="0.25">
      <c r="A284" s="162" t="s">
        <v>204</v>
      </c>
      <c r="B284" s="160">
        <v>10</v>
      </c>
      <c r="D284" s="140">
        <v>1</v>
      </c>
      <c r="E284" s="152">
        <f>$B$285</f>
        <v>66972858.163465135</v>
      </c>
      <c r="F284" s="152">
        <f>H283*$B$282</f>
        <v>53040000.000000007</v>
      </c>
      <c r="G284" s="152">
        <f>E284-F284</f>
        <v>13932858.163465127</v>
      </c>
      <c r="H284" s="152">
        <f>H283-G284</f>
        <v>298067141.83653486</v>
      </c>
    </row>
    <row r="285" spans="1:10" x14ac:dyDescent="0.25">
      <c r="A285" s="162" t="s">
        <v>205</v>
      </c>
      <c r="B285" s="161">
        <f>B283/B286</f>
        <v>66972858.163465135</v>
      </c>
      <c r="D285" s="140">
        <f>D284+1</f>
        <v>2</v>
      </c>
      <c r="E285" s="152">
        <f t="shared" ref="E285:E293" si="407">$B$285</f>
        <v>66972858.163465135</v>
      </c>
      <c r="F285" s="152">
        <f t="shared" ref="F285:F293" si="408">H284*$B$282</f>
        <v>50671414.112210929</v>
      </c>
      <c r="G285" s="152">
        <f t="shared" ref="G285:G293" si="409">E285-F285</f>
        <v>16301444.051254205</v>
      </c>
      <c r="H285" s="152">
        <f t="shared" ref="H285:H291" si="410">H284-G285</f>
        <v>281765697.78528064</v>
      </c>
      <c r="I285" s="151"/>
    </row>
    <row r="286" spans="1:10" x14ac:dyDescent="0.25">
      <c r="A286" s="162" t="s">
        <v>206</v>
      </c>
      <c r="B286" s="160">
        <f>(1-(1+B282)^-10)/B282</f>
        <v>4.6586036277335028</v>
      </c>
      <c r="D286" s="140">
        <f t="shared" ref="D286:D293" si="411">D285+1</f>
        <v>3</v>
      </c>
      <c r="E286" s="152">
        <f t="shared" si="407"/>
        <v>66972858.163465135</v>
      </c>
      <c r="F286" s="152">
        <f t="shared" si="408"/>
        <v>47900168.62349771</v>
      </c>
      <c r="G286" s="152">
        <f t="shared" si="409"/>
        <v>19072689.539967425</v>
      </c>
      <c r="H286" s="152">
        <f t="shared" si="410"/>
        <v>262693008.24531323</v>
      </c>
    </row>
    <row r="287" spans="1:10" x14ac:dyDescent="0.25">
      <c r="D287" s="140">
        <f t="shared" si="411"/>
        <v>4</v>
      </c>
      <c r="E287" s="152">
        <f t="shared" si="407"/>
        <v>66972858.163465135</v>
      </c>
      <c r="F287" s="152">
        <f t="shared" si="408"/>
        <v>44657811.401703253</v>
      </c>
      <c r="G287" s="152">
        <f t="shared" si="409"/>
        <v>22315046.761761881</v>
      </c>
      <c r="H287" s="152">
        <f t="shared" si="410"/>
        <v>240377961.48355135</v>
      </c>
    </row>
    <row r="288" spans="1:10" x14ac:dyDescent="0.25">
      <c r="A288" s="162" t="s">
        <v>224</v>
      </c>
      <c r="B288" s="165">
        <v>8000000</v>
      </c>
      <c r="D288" s="140">
        <f t="shared" si="411"/>
        <v>5</v>
      </c>
      <c r="E288" s="152">
        <f t="shared" si="407"/>
        <v>66972858.163465135</v>
      </c>
      <c r="F288" s="152">
        <f t="shared" si="408"/>
        <v>40864253.452203736</v>
      </c>
      <c r="G288" s="152">
        <f t="shared" si="409"/>
        <v>26108604.711261399</v>
      </c>
      <c r="H288" s="152">
        <f t="shared" si="410"/>
        <v>214269356.77228996</v>
      </c>
    </row>
    <row r="289" spans="1:8" x14ac:dyDescent="0.25">
      <c r="D289" s="140">
        <f t="shared" si="411"/>
        <v>6</v>
      </c>
      <c r="E289" s="152">
        <f t="shared" si="407"/>
        <v>66972858.163465135</v>
      </c>
      <c r="F289" s="152">
        <f t="shared" si="408"/>
        <v>36425790.651289299</v>
      </c>
      <c r="G289" s="152">
        <f t="shared" si="409"/>
        <v>30547067.512175836</v>
      </c>
      <c r="H289" s="152">
        <f t="shared" si="410"/>
        <v>183722289.26011413</v>
      </c>
    </row>
    <row r="290" spans="1:8" x14ac:dyDescent="0.25">
      <c r="A290" s="162" t="s">
        <v>223</v>
      </c>
      <c r="B290" s="165">
        <v>280000000</v>
      </c>
      <c r="C290" s="180" t="s">
        <v>239</v>
      </c>
      <c r="D290" s="140">
        <f t="shared" si="411"/>
        <v>7</v>
      </c>
      <c r="E290" s="152">
        <f t="shared" si="407"/>
        <v>66972858.163465135</v>
      </c>
      <c r="F290" s="152">
        <f t="shared" si="408"/>
        <v>31232789.174219403</v>
      </c>
      <c r="G290" s="152">
        <f t="shared" si="409"/>
        <v>35740068.989245728</v>
      </c>
      <c r="H290" s="152">
        <f t="shared" si="410"/>
        <v>147982220.27086842</v>
      </c>
    </row>
    <row r="291" spans="1:8" x14ac:dyDescent="0.25">
      <c r="A291" s="162" t="s">
        <v>225</v>
      </c>
      <c r="B291" s="165">
        <f>B288*C291</f>
        <v>24000000</v>
      </c>
      <c r="C291" s="140">
        <v>3</v>
      </c>
      <c r="D291" s="140">
        <f t="shared" si="411"/>
        <v>8</v>
      </c>
      <c r="E291" s="152">
        <f t="shared" si="407"/>
        <v>66972858.163465135</v>
      </c>
      <c r="F291" s="152">
        <f t="shared" si="408"/>
        <v>25156977.446047634</v>
      </c>
      <c r="G291" s="152">
        <f t="shared" si="409"/>
        <v>41815880.717417501</v>
      </c>
      <c r="H291" s="152">
        <f t="shared" si="410"/>
        <v>106166339.55345091</v>
      </c>
    </row>
    <row r="292" spans="1:8" x14ac:dyDescent="0.25">
      <c r="A292" s="166" t="s">
        <v>226</v>
      </c>
      <c r="B292" s="165">
        <f>B288*C292</f>
        <v>32000000</v>
      </c>
      <c r="C292" s="140">
        <v>4</v>
      </c>
      <c r="D292" s="140">
        <f t="shared" si="411"/>
        <v>9</v>
      </c>
      <c r="E292" s="152">
        <f t="shared" si="407"/>
        <v>66972858.163465135</v>
      </c>
      <c r="F292" s="152">
        <f t="shared" si="408"/>
        <v>18048277.724086657</v>
      </c>
      <c r="G292" s="152">
        <f t="shared" si="409"/>
        <v>48924580.439378478</v>
      </c>
      <c r="H292" s="152">
        <f>H291-G292</f>
        <v>57241759.114072435</v>
      </c>
    </row>
    <row r="293" spans="1:8" x14ac:dyDescent="0.25">
      <c r="D293" s="140">
        <f t="shared" si="411"/>
        <v>10</v>
      </c>
      <c r="E293" s="152">
        <f t="shared" si="407"/>
        <v>66972858.163465135</v>
      </c>
      <c r="F293" s="152">
        <f t="shared" si="408"/>
        <v>9731099.0493923146</v>
      </c>
      <c r="G293" s="152">
        <f t="shared" si="409"/>
        <v>57241759.114072822</v>
      </c>
      <c r="H293" s="152">
        <f>G293-H292</f>
        <v>3.8743019104003906E-7</v>
      </c>
    </row>
    <row r="294" spans="1:8" x14ac:dyDescent="0.25">
      <c r="D294" s="188" t="s">
        <v>26</v>
      </c>
      <c r="E294" s="164">
        <f>SUM(E284:E293)</f>
        <v>669728581.6346513</v>
      </c>
      <c r="F294" s="164">
        <f t="shared" ref="F294:G294" si="412">SUM(F284:F293)</f>
        <v>357728581.63465095</v>
      </c>
      <c r="G294" s="164">
        <f t="shared" si="412"/>
        <v>312000000.00000036</v>
      </c>
    </row>
    <row r="295" spans="1:8" x14ac:dyDescent="0.25">
      <c r="A295" s="163" t="s">
        <v>243</v>
      </c>
      <c r="B295" s="163" t="s">
        <v>242</v>
      </c>
      <c r="C295" s="162" t="s">
        <v>244</v>
      </c>
    </row>
    <row r="296" spans="1:8" x14ac:dyDescent="0.25">
      <c r="A296" s="137">
        <v>1</v>
      </c>
      <c r="B296" s="137">
        <v>85</v>
      </c>
      <c r="C296" s="148">
        <f>B296/50</f>
        <v>1.7</v>
      </c>
      <c r="F296" s="151"/>
    </row>
    <row r="297" spans="1:8" x14ac:dyDescent="0.25">
      <c r="A297" s="137">
        <v>2</v>
      </c>
      <c r="B297" s="137">
        <v>170</v>
      </c>
      <c r="C297" s="148">
        <f>B297/50</f>
        <v>3.4</v>
      </c>
    </row>
    <row r="298" spans="1:8" x14ac:dyDescent="0.25">
      <c r="A298" s="137">
        <v>3</v>
      </c>
      <c r="B298" s="137">
        <v>255</v>
      </c>
      <c r="C298" s="148">
        <f>B298/50</f>
        <v>5.0999999999999996</v>
      </c>
    </row>
    <row r="299" spans="1:8" x14ac:dyDescent="0.25">
      <c r="A299" s="137">
        <v>4</v>
      </c>
      <c r="B299" s="137">
        <v>340</v>
      </c>
      <c r="C299" s="148">
        <f t="shared" ref="C299:C300" si="413">B299/50</f>
        <v>6.8</v>
      </c>
    </row>
    <row r="300" spans="1:8" x14ac:dyDescent="0.25">
      <c r="A300" s="137">
        <v>5</v>
      </c>
      <c r="B300" s="137">
        <v>425</v>
      </c>
      <c r="C300" s="148">
        <f t="shared" si="413"/>
        <v>8.5</v>
      </c>
    </row>
  </sheetData>
  <sheetProtection insertHyperlinks="0" selectLockedCells="1" sort="0" autoFilter="0"/>
  <mergeCells count="10">
    <mergeCell ref="B2:E2"/>
    <mergeCell ref="B59:E59"/>
    <mergeCell ref="B115:E115"/>
    <mergeCell ref="B170:E170"/>
    <mergeCell ref="B226:E226"/>
    <mergeCell ref="R6:U6"/>
    <mergeCell ref="W6:Z6"/>
    <mergeCell ref="AB6:AE6"/>
    <mergeCell ref="AG6:AJ6"/>
    <mergeCell ref="AL6:AN6"/>
  </mergeCells>
  <phoneticPr fontId="16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M">
    <outlinePr summaryBelow="0" summaryRight="0"/>
  </sheetPr>
  <dimension ref="A1:AE504"/>
  <sheetViews>
    <sheetView showGridLines="0" tabSelected="1" workbookViewId="0">
      <pane xSplit="1" ySplit="4" topLeftCell="B254" activePane="bottomRight" state="frozen"/>
      <selection pane="topRight" activeCell="B1" sqref="B1"/>
      <selection pane="bottomLeft" activeCell="A5" sqref="A5"/>
      <selection pane="bottomRight" activeCell="F459" sqref="F459"/>
    </sheetView>
  </sheetViews>
  <sheetFormatPr defaultRowHeight="16.5" outlineLevelRow="1" outlineLevelCol="2" x14ac:dyDescent="0.3"/>
  <cols>
    <col min="1" max="1" width="42.42578125" style="3" customWidth="1"/>
    <col min="2" max="2" width="14" style="3" bestFit="1" customWidth="1"/>
    <col min="3" max="3" width="14" style="3" hidden="1" customWidth="1" outlineLevel="2"/>
    <col min="4" max="4" width="15.7109375" style="3" hidden="1" customWidth="1" outlineLevel="2"/>
    <col min="5" max="5" width="16.85546875" style="3" hidden="1" customWidth="1" outlineLevel="2"/>
    <col min="6" max="6" width="14.140625" style="3" customWidth="1" outlineLevel="1"/>
    <col min="7" max="7" width="14" style="3" bestFit="1" customWidth="1"/>
    <col min="8" max="9" width="14" style="3" hidden="1" customWidth="1" outlineLevel="2"/>
    <col min="10" max="10" width="20.5703125" style="3" hidden="1" customWidth="1" outlineLevel="2"/>
    <col min="11" max="11" width="15.7109375" style="3" customWidth="1" outlineLevel="1"/>
    <col min="12" max="12" width="5.42578125" style="3" customWidth="1"/>
    <col min="13" max="13" width="12.7109375" style="3" hidden="1" customWidth="1" outlineLevel="2"/>
    <col min="14" max="15" width="14" style="3" hidden="1" customWidth="1" outlineLevel="2"/>
    <col min="16" max="16" width="15.7109375" style="3" customWidth="1" outlineLevel="1"/>
    <col min="17" max="17" width="5.85546875" style="3" customWidth="1"/>
    <col min="18" max="18" width="12.7109375" style="3" hidden="1" customWidth="1" outlineLevel="2"/>
    <col min="19" max="20" width="14" style="3" hidden="1" customWidth="1" outlineLevel="2"/>
    <col min="21" max="21" width="15.7109375" style="3" customWidth="1" outlineLevel="1"/>
    <col min="22" max="22" width="7.28515625" style="3" customWidth="1"/>
    <col min="23" max="23" width="12.7109375" style="3" hidden="1" customWidth="1" outlineLevel="2"/>
    <col min="24" max="25" width="14" style="3" hidden="1" customWidth="1" outlineLevel="2"/>
    <col min="26" max="26" width="15.7109375" style="3" customWidth="1" outlineLevel="1"/>
    <col min="27" max="27" width="41.42578125" style="3" bestFit="1" customWidth="1"/>
    <col min="28" max="28" width="15.7109375" style="3" bestFit="1" customWidth="1"/>
    <col min="29" max="16384" width="9.140625" style="3"/>
  </cols>
  <sheetData>
    <row r="1" spans="1:28" ht="29.25" customHeight="1" x14ac:dyDescent="0.3">
      <c r="A1" s="210" t="s">
        <v>236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</row>
    <row r="2" spans="1:28" s="11" customFormat="1" ht="18" x14ac:dyDescent="0.35">
      <c r="A2" s="58" t="s">
        <v>152</v>
      </c>
      <c r="B2" s="17"/>
      <c r="C2" s="202" t="s">
        <v>77</v>
      </c>
      <c r="D2" s="202"/>
      <c r="E2" s="202"/>
      <c r="F2" s="202"/>
      <c r="G2" s="12"/>
      <c r="H2" s="202" t="s">
        <v>78</v>
      </c>
      <c r="I2" s="202"/>
      <c r="J2" s="202"/>
      <c r="K2" s="202"/>
      <c r="L2" s="12"/>
      <c r="M2" s="202" t="s">
        <v>79</v>
      </c>
      <c r="N2" s="202"/>
      <c r="O2" s="202"/>
      <c r="P2" s="202"/>
      <c r="Q2" s="12"/>
      <c r="R2" s="202" t="s">
        <v>80</v>
      </c>
      <c r="S2" s="202"/>
      <c r="T2" s="202"/>
      <c r="U2" s="202"/>
      <c r="V2" s="12"/>
      <c r="W2" s="202" t="s">
        <v>81</v>
      </c>
      <c r="X2" s="202"/>
      <c r="Y2" s="202"/>
      <c r="Z2" s="212"/>
    </row>
    <row r="3" spans="1:28" ht="18" x14ac:dyDescent="0.35">
      <c r="A3" s="189" t="s">
        <v>247</v>
      </c>
      <c r="B3" s="57"/>
      <c r="C3" s="7" t="s">
        <v>14</v>
      </c>
      <c r="D3" s="7" t="s">
        <v>15</v>
      </c>
      <c r="E3" s="7" t="s">
        <v>16</v>
      </c>
      <c r="F3" s="7" t="str">
        <f>IFERROR(IF(OR(F300=F319,F300-F319&lt;=0),"Balanced","Error"),"")</f>
        <v>Balanced</v>
      </c>
      <c r="G3" s="7"/>
      <c r="H3" s="7" t="s">
        <v>14</v>
      </c>
      <c r="I3" s="7" t="s">
        <v>15</v>
      </c>
      <c r="J3" s="7" t="s">
        <v>16</v>
      </c>
      <c r="K3" s="7" t="str">
        <f>IFERROR(IF(OR(K300=K319,K300-K319&lt;=0),"Balanced","Error"),"")</f>
        <v>Balanced</v>
      </c>
      <c r="L3" s="7"/>
      <c r="M3" s="7" t="s">
        <v>14</v>
      </c>
      <c r="N3" s="7" t="s">
        <v>15</v>
      </c>
      <c r="O3" s="7" t="s">
        <v>16</v>
      </c>
      <c r="P3" s="7" t="str">
        <f>IFERROR(IF(OR(P300=P319,P300-P319&lt;=0),"Balanced","Error"),"")</f>
        <v>Balanced</v>
      </c>
      <c r="Q3" s="7"/>
      <c r="R3" s="7" t="s">
        <v>14</v>
      </c>
      <c r="S3" s="7" t="s">
        <v>15</v>
      </c>
      <c r="T3" s="7" t="s">
        <v>16</v>
      </c>
      <c r="U3" s="7" t="str">
        <f>IFERROR(IF(OR(U300=U319,U300-U319&lt;=0),"Balanced","Error"),"")</f>
        <v>Balanced</v>
      </c>
      <c r="V3" s="7"/>
      <c r="W3" s="7" t="s">
        <v>14</v>
      </c>
      <c r="X3" s="7" t="s">
        <v>15</v>
      </c>
      <c r="Y3" s="7" t="s">
        <v>16</v>
      </c>
      <c r="Z3" s="7" t="str">
        <f>IFERROR(IF(OR(Z300=Z319,Z300-Z319&lt;=0),"Balanced","Error"),"")</f>
        <v>Balanced</v>
      </c>
    </row>
    <row r="4" spans="1:28" ht="17.25" x14ac:dyDescent="0.3">
      <c r="A4" s="31" t="s">
        <v>90</v>
      </c>
      <c r="B4" s="28">
        <v>2</v>
      </c>
      <c r="C4" s="27"/>
      <c r="D4" s="27"/>
      <c r="E4" s="27"/>
      <c r="F4" s="7"/>
      <c r="G4" s="27">
        <v>1</v>
      </c>
      <c r="H4" s="27"/>
      <c r="I4" s="27"/>
      <c r="J4" s="27"/>
      <c r="K4" s="26" t="str">
        <f>IF(B4=1,"5% @ 5std",IF(B4=2,"7.5% @ 10std",IF(B4=3,"2.5% @ 3std","")))</f>
        <v>7.5% @ 10std</v>
      </c>
      <c r="L4" s="27"/>
      <c r="M4" s="27"/>
      <c r="N4" s="27"/>
      <c r="O4" s="27"/>
      <c r="P4" s="26" t="str">
        <f>IF(B4=1,"5% @ 5std",IF(B4=2,"7.5% @ 10std",IF(B4=3,"2.5% @ 3std","")))</f>
        <v>7.5% @ 10std</v>
      </c>
      <c r="Q4" s="27"/>
      <c r="R4" s="27"/>
      <c r="S4" s="27"/>
      <c r="T4" s="27"/>
      <c r="U4" s="26" t="str">
        <f>IF(B4=1,"5% @ 5std",IF(B4=2,"7.5% @ 10std",IF(B4=3,"2.5% @ 3std","")))</f>
        <v>7.5% @ 10std</v>
      </c>
      <c r="V4" s="27"/>
      <c r="W4" s="27"/>
      <c r="X4" s="27"/>
      <c r="Y4" s="27"/>
      <c r="Z4" s="26" t="str">
        <f>IF(B4=1,"5% @ 5std",IF(B4=2,"7.5% @ 10std",IF(B4=3,"2.5% @ 3std","")))</f>
        <v>7.5% @ 10std</v>
      </c>
    </row>
    <row r="5" spans="1:28" ht="17.25" x14ac:dyDescent="0.3">
      <c r="C5" s="29"/>
      <c r="D5" s="30"/>
      <c r="E5" s="3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8" ht="17.25" collapsed="1" x14ac:dyDescent="0.35">
      <c r="A6" s="1" t="s">
        <v>5</v>
      </c>
      <c r="B6" s="1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8" ht="17.25" hidden="1" outlineLevel="1" x14ac:dyDescent="0.35">
      <c r="A7" s="4" t="s">
        <v>83</v>
      </c>
      <c r="B7" s="4"/>
      <c r="C7" s="208" t="s">
        <v>87</v>
      </c>
      <c r="D7" s="208"/>
      <c r="E7" s="208"/>
      <c r="F7" s="208"/>
      <c r="G7" s="208"/>
      <c r="H7" s="208"/>
      <c r="I7" s="9">
        <v>0.05</v>
      </c>
      <c r="J7" s="3">
        <f>I7+1</f>
        <v>1.05</v>
      </c>
      <c r="AB7" s="37"/>
    </row>
    <row r="8" spans="1:28" s="18" customFormat="1" hidden="1" outlineLevel="1" x14ac:dyDescent="0.3">
      <c r="A8" s="18" t="s">
        <v>7</v>
      </c>
      <c r="C8" s="60">
        <f>JUB</f>
        <v>5831250</v>
      </c>
      <c r="D8" s="60">
        <f>GABA</f>
        <v>17746500</v>
      </c>
      <c r="E8" s="60">
        <f>JHDF</f>
        <v>40254000</v>
      </c>
      <c r="F8" s="60">
        <f>SUM(C8:E8)</f>
        <v>63831750</v>
      </c>
      <c r="G8" s="60"/>
      <c r="H8" s="60">
        <f>FG37J</f>
        <v>12245640</v>
      </c>
      <c r="I8" s="60">
        <f>RT</f>
        <v>37267650</v>
      </c>
      <c r="J8" s="60">
        <f>GDF</f>
        <v>84533400</v>
      </c>
      <c r="K8" s="60">
        <f>SUM(H8:J8)</f>
        <v>134046690</v>
      </c>
      <c r="L8" s="60"/>
      <c r="M8" s="60">
        <f>WER456FDG</f>
        <v>19286910</v>
      </c>
      <c r="N8" s="60">
        <f>GHJJK</f>
        <v>58696560</v>
      </c>
      <c r="O8" s="60">
        <f>QW</f>
        <v>133140105</v>
      </c>
      <c r="P8" s="60">
        <f>SUM(M8:O8)</f>
        <v>211123575</v>
      </c>
      <c r="Q8" s="60"/>
      <c r="R8" s="60">
        <f>DFGDG</f>
        <v>27001620</v>
      </c>
      <c r="S8" s="60">
        <f>FH</f>
        <v>82175220</v>
      </c>
      <c r="T8" s="60">
        <f>DFGHF</f>
        <v>186396180</v>
      </c>
      <c r="U8" s="60">
        <f>SUM(R8:T8)</f>
        <v>295573020</v>
      </c>
      <c r="V8" s="60"/>
      <c r="W8" s="60">
        <f>JUMA</f>
        <v>35439603.999749996</v>
      </c>
      <c r="X8" s="60">
        <f>OL</f>
        <v>107854907.7525</v>
      </c>
      <c r="Y8" s="60">
        <f>HAH</f>
        <v>244644941.25</v>
      </c>
      <c r="Z8" s="60">
        <f>SUM(W8:Y8)</f>
        <v>387939453.00224996</v>
      </c>
      <c r="AB8" s="38"/>
    </row>
    <row r="9" spans="1:28" s="18" customFormat="1" hidden="1" outlineLevel="1" x14ac:dyDescent="0.3">
      <c r="A9" s="18" t="s">
        <v>8</v>
      </c>
      <c r="C9" s="60">
        <f>OPPO</f>
        <v>1000000</v>
      </c>
      <c r="D9" s="60">
        <f>TUO</f>
        <v>1500000</v>
      </c>
      <c r="E9" s="60">
        <f>SDKJFH</f>
        <v>1750000</v>
      </c>
      <c r="F9" s="60">
        <f t="shared" ref="F9:F14" si="0">SUM(C9:E9)</f>
        <v>4250000</v>
      </c>
      <c r="G9" s="60"/>
      <c r="H9" s="60">
        <f>DFJH</f>
        <v>2000000</v>
      </c>
      <c r="I9" s="60">
        <f>FHFG</f>
        <v>3000000</v>
      </c>
      <c r="J9" s="60">
        <f>GHJ</f>
        <v>3500000</v>
      </c>
      <c r="K9" s="60">
        <f t="shared" ref="K9:K14" si="1">SUM(H9:J9)</f>
        <v>8500000</v>
      </c>
      <c r="L9" s="60"/>
      <c r="M9" s="60">
        <f>HJ</f>
        <v>3000000</v>
      </c>
      <c r="N9" s="60">
        <f>DF</f>
        <v>4500000</v>
      </c>
      <c r="O9" s="60">
        <f>CVN</f>
        <v>5250000</v>
      </c>
      <c r="P9" s="60">
        <f t="shared" ref="P9:P14" si="2">SUM(M9:O9)</f>
        <v>12750000</v>
      </c>
      <c r="Q9" s="60"/>
      <c r="R9" s="60">
        <f>ERYRT</f>
        <v>4000000</v>
      </c>
      <c r="S9" s="60">
        <f>DFHTR</f>
        <v>6000000</v>
      </c>
      <c r="T9" s="60">
        <f>ER456GR</f>
        <v>7000000</v>
      </c>
      <c r="U9" s="60">
        <f t="shared" ref="U9:U14" si="3">SUM(R9:T9)</f>
        <v>17000000</v>
      </c>
      <c r="V9" s="61"/>
      <c r="W9" s="60">
        <f>ROB</f>
        <v>5000000</v>
      </c>
      <c r="X9" s="60">
        <f>COL</f>
        <v>7500000</v>
      </c>
      <c r="Y9" s="60">
        <f>ROP</f>
        <v>8750000</v>
      </c>
      <c r="Z9" s="60">
        <f t="shared" ref="Z9:Z14" si="4">SUM(W9:Y9)</f>
        <v>21250000</v>
      </c>
      <c r="AB9" s="38"/>
    </row>
    <row r="10" spans="1:28" s="18" customFormat="1" hidden="1" outlineLevel="1" x14ac:dyDescent="0.3">
      <c r="A10" s="18" t="s">
        <v>10</v>
      </c>
      <c r="C10" s="60">
        <f>TY</f>
        <v>1400000</v>
      </c>
      <c r="D10" s="60">
        <f>RUI</f>
        <v>2100000</v>
      </c>
      <c r="E10" s="60">
        <f>SDJK</f>
        <v>2450000</v>
      </c>
      <c r="F10" s="60">
        <f t="shared" si="0"/>
        <v>5950000</v>
      </c>
      <c r="G10" s="60"/>
      <c r="H10" s="60">
        <f>DFJHK</f>
        <v>2800000</v>
      </c>
      <c r="I10" s="60">
        <f>TUY</f>
        <v>4200000</v>
      </c>
      <c r="J10" s="60">
        <f>TYUD</f>
        <v>4900000</v>
      </c>
      <c r="K10" s="60">
        <f t="shared" si="1"/>
        <v>11900000</v>
      </c>
      <c r="L10" s="60"/>
      <c r="M10" s="60">
        <f>GFF</f>
        <v>4200000</v>
      </c>
      <c r="N10" s="60">
        <f>ZXC</f>
        <v>6300000</v>
      </c>
      <c r="O10" s="60">
        <f>QWEWER</f>
        <v>7350000</v>
      </c>
      <c r="P10" s="60">
        <f t="shared" si="2"/>
        <v>17850000</v>
      </c>
      <c r="Q10" s="60"/>
      <c r="R10" s="60">
        <f>SDSG</f>
        <v>5600000</v>
      </c>
      <c r="S10" s="60">
        <f>DFGFD</f>
        <v>8400000</v>
      </c>
      <c r="T10" s="60">
        <f>DFGFD5564GHGF</f>
        <v>9800000</v>
      </c>
      <c r="U10" s="60">
        <f t="shared" si="3"/>
        <v>23800000</v>
      </c>
      <c r="V10" s="61"/>
      <c r="W10" s="60">
        <f>TOM</f>
        <v>7000000</v>
      </c>
      <c r="X10" s="60">
        <f>BOLT</f>
        <v>10500000</v>
      </c>
      <c r="Y10" s="60">
        <f>SOP</f>
        <v>12250000</v>
      </c>
      <c r="Z10" s="60">
        <f t="shared" si="4"/>
        <v>29750000</v>
      </c>
      <c r="AB10" s="38"/>
    </row>
    <row r="11" spans="1:28" s="18" customFormat="1" hidden="1" outlineLevel="1" x14ac:dyDescent="0.3">
      <c r="A11" s="18" t="s">
        <v>9</v>
      </c>
      <c r="C11" s="60">
        <f>TOB</f>
        <v>3000000</v>
      </c>
      <c r="D11" s="60">
        <f>TUI</f>
        <v>4500000</v>
      </c>
      <c r="E11" s="60">
        <f>KSDJFJK</f>
        <v>5250000</v>
      </c>
      <c r="F11" s="60">
        <f t="shared" si="0"/>
        <v>12750000</v>
      </c>
      <c r="G11" s="60"/>
      <c r="H11" s="60">
        <f>ERR</f>
        <v>6000000</v>
      </c>
      <c r="I11" s="60">
        <f>JKL</f>
        <v>9000000</v>
      </c>
      <c r="J11" s="60">
        <f>DFG</f>
        <v>10500000</v>
      </c>
      <c r="K11" s="60">
        <f t="shared" si="1"/>
        <v>25500000</v>
      </c>
      <c r="L11" s="60"/>
      <c r="M11" s="60">
        <f>GJ</f>
        <v>9000000</v>
      </c>
      <c r="N11" s="60">
        <f>ZSE</f>
        <v>13500000</v>
      </c>
      <c r="O11" s="60">
        <f>QDDGF</f>
        <v>15750000</v>
      </c>
      <c r="P11" s="60">
        <f t="shared" si="2"/>
        <v>38250000</v>
      </c>
      <c r="Q11" s="60"/>
      <c r="R11" s="60">
        <f>ERTYTR</f>
        <v>12000000</v>
      </c>
      <c r="S11" s="60">
        <f>ZDFG</f>
        <v>18000000</v>
      </c>
      <c r="T11" s="60">
        <f>DFDF467DF</f>
        <v>21000000</v>
      </c>
      <c r="U11" s="60">
        <f t="shared" si="3"/>
        <v>51000000</v>
      </c>
      <c r="V11" s="61"/>
      <c r="W11" s="60">
        <f>NOM</f>
        <v>15000000</v>
      </c>
      <c r="X11" s="60">
        <f>DOM</f>
        <v>22500000</v>
      </c>
      <c r="Y11" s="60">
        <f>KOP</f>
        <v>26250000</v>
      </c>
      <c r="Z11" s="60">
        <f t="shared" si="4"/>
        <v>63750000</v>
      </c>
      <c r="AB11" s="38"/>
    </row>
    <row r="12" spans="1:28" s="18" customFormat="1" hidden="1" outlineLevel="1" x14ac:dyDescent="0.3">
      <c r="A12" s="18" t="s">
        <v>11</v>
      </c>
      <c r="C12" s="60">
        <f>Y</f>
        <v>2520000</v>
      </c>
      <c r="D12" s="60">
        <f>WERUIYIU</f>
        <v>4185000</v>
      </c>
      <c r="E12" s="60">
        <f>SDFJK</f>
        <v>5355000</v>
      </c>
      <c r="F12" s="60">
        <f t="shared" si="0"/>
        <v>12060000</v>
      </c>
      <c r="G12" s="60"/>
      <c r="H12" s="60">
        <f>HGH45T</f>
        <v>6525000</v>
      </c>
      <c r="I12" s="60">
        <f>FGH</f>
        <v>8370000</v>
      </c>
      <c r="J12" s="60">
        <f>TRY</f>
        <v>10710000</v>
      </c>
      <c r="K12" s="60">
        <f t="shared" si="1"/>
        <v>25605000</v>
      </c>
      <c r="L12" s="60"/>
      <c r="M12" s="60">
        <f>TRYTY</f>
        <v>7560000</v>
      </c>
      <c r="N12" s="60">
        <f>TRTYFG</f>
        <v>12555000</v>
      </c>
      <c r="O12" s="60">
        <f>RTIOP</f>
        <v>16065000</v>
      </c>
      <c r="P12" s="60">
        <f t="shared" si="2"/>
        <v>36180000</v>
      </c>
      <c r="Q12" s="60"/>
      <c r="R12" s="60">
        <f>FDGD</f>
        <v>10080000</v>
      </c>
      <c r="S12" s="60">
        <f>ERT</f>
        <v>16740000</v>
      </c>
      <c r="T12" s="60">
        <f>ERER34FGFG</f>
        <v>21420000</v>
      </c>
      <c r="U12" s="60">
        <f t="shared" si="3"/>
        <v>48240000</v>
      </c>
      <c r="V12" s="61"/>
      <c r="W12" s="60">
        <f>JOB</f>
        <v>12600000</v>
      </c>
      <c r="X12" s="60">
        <f>WOB</f>
        <v>20925000</v>
      </c>
      <c r="Y12" s="60">
        <f>COP</f>
        <v>26775000</v>
      </c>
      <c r="Z12" s="60">
        <f t="shared" si="4"/>
        <v>60300000</v>
      </c>
      <c r="AB12" s="38"/>
    </row>
    <row r="13" spans="1:28" s="18" customFormat="1" hidden="1" outlineLevel="1" x14ac:dyDescent="0.3">
      <c r="A13" s="18" t="s">
        <v>12</v>
      </c>
      <c r="C13" s="60">
        <f>EWQ</f>
        <v>1938000</v>
      </c>
      <c r="D13" s="60">
        <f>HSJKLHK</f>
        <v>3343500</v>
      </c>
      <c r="E13" s="60">
        <f>JKSDFK</f>
        <v>4226250</v>
      </c>
      <c r="F13" s="60">
        <f t="shared" si="0"/>
        <v>9507750</v>
      </c>
      <c r="G13" s="60"/>
      <c r="H13" s="60">
        <f>GHU56D</f>
        <v>3876000</v>
      </c>
      <c r="I13" s="60">
        <f>VBHG</f>
        <v>6687000</v>
      </c>
      <c r="J13" s="60">
        <f>YU</f>
        <v>8452500</v>
      </c>
      <c r="K13" s="60">
        <f t="shared" si="1"/>
        <v>19015500</v>
      </c>
      <c r="L13" s="60"/>
      <c r="M13" s="60">
        <f>WER</f>
        <v>5814000</v>
      </c>
      <c r="N13" s="60">
        <f>RDFG</f>
        <v>10030500</v>
      </c>
      <c r="O13" s="60">
        <f>BMRTE</f>
        <v>12678750</v>
      </c>
      <c r="P13" s="60">
        <f t="shared" si="2"/>
        <v>28523250</v>
      </c>
      <c r="Q13" s="60"/>
      <c r="R13" s="60">
        <f>CVBCVFG</f>
        <v>7752000</v>
      </c>
      <c r="S13" s="60">
        <f>DFF</f>
        <v>13374000</v>
      </c>
      <c r="T13" s="60">
        <f>DSFSD</f>
        <v>16905000</v>
      </c>
      <c r="U13" s="60">
        <f t="shared" si="3"/>
        <v>38031000</v>
      </c>
      <c r="V13" s="61"/>
      <c r="W13" s="60">
        <f>FOB</f>
        <v>9690000</v>
      </c>
      <c r="X13" s="60">
        <f>TOP</f>
        <v>16717500</v>
      </c>
      <c r="Y13" s="60">
        <f>BOMB</f>
        <v>21131250</v>
      </c>
      <c r="Z13" s="60">
        <f t="shared" si="4"/>
        <v>47538750</v>
      </c>
      <c r="AB13" s="38"/>
    </row>
    <row r="14" spans="1:28" s="18" customFormat="1" hidden="1" outlineLevel="1" x14ac:dyDescent="0.3">
      <c r="A14" s="18" t="s">
        <v>13</v>
      </c>
      <c r="C14" s="60">
        <f>GA</f>
        <v>810000</v>
      </c>
      <c r="D14" s="60">
        <f>SDLFKHKL</f>
        <v>2052000</v>
      </c>
      <c r="E14" s="60">
        <f>IERYUI</f>
        <v>3053250</v>
      </c>
      <c r="F14" s="60">
        <f t="shared" si="0"/>
        <v>5915250</v>
      </c>
      <c r="G14" s="60"/>
      <c r="H14" s="60">
        <f>DFFG56X</f>
        <v>1620000</v>
      </c>
      <c r="I14" s="60">
        <f>DFGDF</f>
        <v>4104000</v>
      </c>
      <c r="J14" s="60">
        <f>SDF</f>
        <v>6106500</v>
      </c>
      <c r="K14" s="60">
        <f t="shared" si="1"/>
        <v>11830500</v>
      </c>
      <c r="L14" s="60"/>
      <c r="M14" s="60">
        <f>FNG</f>
        <v>2430000</v>
      </c>
      <c r="N14" s="60">
        <f>YUIU</f>
        <v>6156000</v>
      </c>
      <c r="O14" s="60">
        <f>FDGFDG</f>
        <v>9159750</v>
      </c>
      <c r="P14" s="60">
        <f t="shared" si="2"/>
        <v>17745750</v>
      </c>
      <c r="Q14" s="60"/>
      <c r="R14" s="60">
        <f>SDFSG</f>
        <v>3240000</v>
      </c>
      <c r="S14" s="60">
        <f>CVBCVN</f>
        <v>8208000</v>
      </c>
      <c r="T14" s="60">
        <f>ER665RR</f>
        <v>12213000</v>
      </c>
      <c r="U14" s="60">
        <f t="shared" si="3"/>
        <v>23661000</v>
      </c>
      <c r="V14" s="61"/>
      <c r="W14" s="60">
        <f>LOB</f>
        <v>4050000</v>
      </c>
      <c r="X14" s="60">
        <f>FOP</f>
        <v>10260000</v>
      </c>
      <c r="Y14" s="60">
        <f>TOYP</f>
        <v>15266250</v>
      </c>
      <c r="Z14" s="60">
        <f t="shared" si="4"/>
        <v>29576250</v>
      </c>
      <c r="AB14" s="38"/>
    </row>
    <row r="15" spans="1:28" s="18" customFormat="1" hidden="1" outlineLevel="1" x14ac:dyDescent="0.3"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1"/>
      <c r="V15" s="61"/>
      <c r="W15" s="61"/>
      <c r="X15" s="61"/>
      <c r="Y15" s="61"/>
      <c r="Z15" s="61"/>
    </row>
    <row r="16" spans="1:28" s="18" customFormat="1" hidden="1" outlineLevel="1" x14ac:dyDescent="0.3"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205">
        <v>0.1</v>
      </c>
      <c r="O16" s="205"/>
      <c r="P16" s="205"/>
      <c r="Q16" s="60"/>
      <c r="R16" s="61"/>
      <c r="S16" s="205">
        <v>0.1</v>
      </c>
      <c r="T16" s="205"/>
      <c r="U16" s="205"/>
      <c r="V16" s="61"/>
      <c r="W16" s="61"/>
      <c r="X16" s="205">
        <v>0.1</v>
      </c>
      <c r="Y16" s="205"/>
      <c r="Z16" s="205"/>
    </row>
    <row r="17" spans="1:26" s="18" customFormat="1" ht="17.25" hidden="1" outlineLevel="1" x14ac:dyDescent="0.35">
      <c r="A17" s="21" t="s">
        <v>39</v>
      </c>
      <c r="B17" s="22"/>
      <c r="C17" s="60"/>
      <c r="D17" s="60" t="s">
        <v>55</v>
      </c>
      <c r="E17" s="60" t="s">
        <v>56</v>
      </c>
      <c r="F17" s="60" t="s">
        <v>57</v>
      </c>
      <c r="G17" s="60"/>
      <c r="H17" s="60"/>
      <c r="I17" s="60" t="s">
        <v>55</v>
      </c>
      <c r="J17" s="60" t="s">
        <v>56</v>
      </c>
      <c r="K17" s="60" t="s">
        <v>57</v>
      </c>
      <c r="L17" s="60"/>
      <c r="M17" s="60"/>
      <c r="N17" s="60" t="s">
        <v>55</v>
      </c>
      <c r="O17" s="60" t="s">
        <v>56</v>
      </c>
      <c r="P17" s="60" t="s">
        <v>57</v>
      </c>
      <c r="Q17" s="60"/>
      <c r="R17" s="61"/>
      <c r="S17" s="60" t="s">
        <v>55</v>
      </c>
      <c r="T17" s="60" t="s">
        <v>56</v>
      </c>
      <c r="U17" s="60" t="s">
        <v>57</v>
      </c>
      <c r="V17" s="61"/>
      <c r="W17" s="61"/>
      <c r="X17" s="60" t="s">
        <v>55</v>
      </c>
      <c r="Y17" s="60" t="s">
        <v>56</v>
      </c>
      <c r="Z17" s="60" t="s">
        <v>57</v>
      </c>
    </row>
    <row r="18" spans="1:26" s="18" customFormat="1" hidden="1" outlineLevel="1" x14ac:dyDescent="0.3">
      <c r="A18" s="23" t="s">
        <v>40</v>
      </c>
      <c r="B18" s="23"/>
      <c r="C18" s="60"/>
      <c r="D18" s="60">
        <v>150000</v>
      </c>
      <c r="E18" s="60">
        <v>14</v>
      </c>
      <c r="F18" s="60">
        <f>D18*E18*12</f>
        <v>25200000</v>
      </c>
      <c r="G18" s="60"/>
      <c r="H18" s="60"/>
      <c r="I18" s="60">
        <v>150000</v>
      </c>
      <c r="J18" s="60">
        <v>20</v>
      </c>
      <c r="K18" s="60">
        <f>I18*J18*12</f>
        <v>36000000</v>
      </c>
      <c r="L18" s="60"/>
      <c r="M18" s="60"/>
      <c r="N18" s="60">
        <f t="shared" ref="N18:N26" si="5">$I18*(1+$N$202)</f>
        <v>165000</v>
      </c>
      <c r="O18" s="60">
        <v>22</v>
      </c>
      <c r="P18" s="60">
        <f>N18*O18*12</f>
        <v>43560000</v>
      </c>
      <c r="Q18" s="60"/>
      <c r="R18" s="61"/>
      <c r="S18" s="60">
        <v>165000</v>
      </c>
      <c r="T18" s="60">
        <v>24</v>
      </c>
      <c r="U18" s="60">
        <f>S18*T18*12</f>
        <v>47520000</v>
      </c>
      <c r="V18" s="61"/>
      <c r="W18" s="61"/>
      <c r="X18" s="60">
        <f t="shared" ref="X18:X26" si="6">S18*($X$202+1)</f>
        <v>181500.00000000003</v>
      </c>
      <c r="Y18" s="60">
        <v>24</v>
      </c>
      <c r="Z18" s="60">
        <f>X18*Y18*12</f>
        <v>52272000.000000015</v>
      </c>
    </row>
    <row r="19" spans="1:26" s="18" customFormat="1" hidden="1" outlineLevel="1" x14ac:dyDescent="0.3">
      <c r="A19" s="23" t="s">
        <v>41</v>
      </c>
      <c r="B19" s="23"/>
      <c r="C19" s="60"/>
      <c r="D19" s="60">
        <v>350000</v>
      </c>
      <c r="E19" s="60">
        <v>4</v>
      </c>
      <c r="F19" s="60">
        <f t="shared" ref="F19:F26" si="7">D19*E19*12</f>
        <v>16800000</v>
      </c>
      <c r="G19" s="60"/>
      <c r="H19" s="60"/>
      <c r="I19" s="60">
        <v>350000</v>
      </c>
      <c r="J19" s="60">
        <v>6</v>
      </c>
      <c r="K19" s="60">
        <f t="shared" ref="K19:K26" si="8">I19*J19*12</f>
        <v>25200000</v>
      </c>
      <c r="L19" s="60"/>
      <c r="M19" s="60"/>
      <c r="N19" s="60">
        <f t="shared" si="5"/>
        <v>385000.00000000006</v>
      </c>
      <c r="O19" s="60">
        <v>6</v>
      </c>
      <c r="P19" s="60">
        <f t="shared" ref="P19:P26" si="9">N19*O19*12</f>
        <v>27720000.000000007</v>
      </c>
      <c r="Q19" s="60"/>
      <c r="R19" s="61"/>
      <c r="S19" s="60">
        <v>385000.00000000006</v>
      </c>
      <c r="T19" s="60">
        <v>7</v>
      </c>
      <c r="U19" s="60">
        <f t="shared" ref="U19:U26" si="10">S19*T19*12</f>
        <v>32340000.000000007</v>
      </c>
      <c r="V19" s="61"/>
      <c r="W19" s="61"/>
      <c r="X19" s="60">
        <f t="shared" si="6"/>
        <v>423500.00000000012</v>
      </c>
      <c r="Y19" s="60">
        <v>7</v>
      </c>
      <c r="Z19" s="60">
        <f t="shared" ref="Z19:Z26" si="11">X19*Y19*12</f>
        <v>35574000.000000015</v>
      </c>
    </row>
    <row r="20" spans="1:26" s="18" customFormat="1" hidden="1" outlineLevel="1" x14ac:dyDescent="0.3">
      <c r="A20" s="23" t="s">
        <v>42</v>
      </c>
      <c r="B20" s="23"/>
      <c r="C20" s="60"/>
      <c r="D20" s="60">
        <v>500000</v>
      </c>
      <c r="E20" s="60">
        <v>1</v>
      </c>
      <c r="F20" s="60">
        <f t="shared" si="7"/>
        <v>6000000</v>
      </c>
      <c r="G20" s="60"/>
      <c r="H20" s="60"/>
      <c r="I20" s="60">
        <v>500000</v>
      </c>
      <c r="J20" s="60">
        <v>1</v>
      </c>
      <c r="K20" s="60">
        <f t="shared" si="8"/>
        <v>6000000</v>
      </c>
      <c r="L20" s="60"/>
      <c r="M20" s="60"/>
      <c r="N20" s="60">
        <f t="shared" si="5"/>
        <v>550000</v>
      </c>
      <c r="O20" s="60">
        <v>1</v>
      </c>
      <c r="P20" s="60">
        <f t="shared" si="9"/>
        <v>6600000</v>
      </c>
      <c r="Q20" s="60"/>
      <c r="R20" s="61"/>
      <c r="S20" s="60">
        <v>550000</v>
      </c>
      <c r="T20" s="60">
        <v>1</v>
      </c>
      <c r="U20" s="60">
        <f t="shared" si="10"/>
        <v>6600000</v>
      </c>
      <c r="V20" s="61"/>
      <c r="W20" s="61"/>
      <c r="X20" s="60">
        <f t="shared" si="6"/>
        <v>605000</v>
      </c>
      <c r="Y20" s="60">
        <v>1</v>
      </c>
      <c r="Z20" s="60">
        <f t="shared" si="11"/>
        <v>7260000</v>
      </c>
    </row>
    <row r="21" spans="1:26" s="18" customFormat="1" hidden="1" outlineLevel="1" x14ac:dyDescent="0.3">
      <c r="A21" s="23" t="s">
        <v>43</v>
      </c>
      <c r="B21" s="23"/>
      <c r="C21" s="60"/>
      <c r="D21" s="60">
        <v>400000</v>
      </c>
      <c r="E21" s="60">
        <v>1</v>
      </c>
      <c r="F21" s="60">
        <f t="shared" si="7"/>
        <v>4800000</v>
      </c>
      <c r="G21" s="60"/>
      <c r="H21" s="60"/>
      <c r="I21" s="60">
        <v>400000</v>
      </c>
      <c r="J21" s="60">
        <v>1</v>
      </c>
      <c r="K21" s="60">
        <f t="shared" si="8"/>
        <v>4800000</v>
      </c>
      <c r="L21" s="60"/>
      <c r="M21" s="60"/>
      <c r="N21" s="60">
        <f t="shared" si="5"/>
        <v>440000.00000000006</v>
      </c>
      <c r="O21" s="60">
        <v>1</v>
      </c>
      <c r="P21" s="60">
        <f t="shared" si="9"/>
        <v>5280000.0000000009</v>
      </c>
      <c r="Q21" s="60"/>
      <c r="R21" s="61"/>
      <c r="S21" s="60">
        <v>440000.00000000006</v>
      </c>
      <c r="T21" s="60">
        <v>1</v>
      </c>
      <c r="U21" s="60">
        <f t="shared" si="10"/>
        <v>5280000.0000000009</v>
      </c>
      <c r="V21" s="61"/>
      <c r="W21" s="61"/>
      <c r="X21" s="60">
        <f t="shared" si="6"/>
        <v>484000.00000000012</v>
      </c>
      <c r="Y21" s="60">
        <v>1</v>
      </c>
      <c r="Z21" s="60">
        <f t="shared" si="11"/>
        <v>5808000.0000000019</v>
      </c>
    </row>
    <row r="22" spans="1:26" s="18" customFormat="1" hidden="1" outlineLevel="1" x14ac:dyDescent="0.3">
      <c r="A22" s="18" t="s">
        <v>44</v>
      </c>
      <c r="C22" s="60"/>
      <c r="D22" s="60">
        <v>300000</v>
      </c>
      <c r="E22" s="60">
        <v>1</v>
      </c>
      <c r="F22" s="60">
        <f t="shared" si="7"/>
        <v>3600000</v>
      </c>
      <c r="G22" s="60"/>
      <c r="H22" s="60"/>
      <c r="I22" s="60">
        <v>300000</v>
      </c>
      <c r="J22" s="60">
        <v>1</v>
      </c>
      <c r="K22" s="60">
        <f t="shared" si="8"/>
        <v>3600000</v>
      </c>
      <c r="L22" s="60"/>
      <c r="M22" s="60"/>
      <c r="N22" s="60">
        <f t="shared" si="5"/>
        <v>330000</v>
      </c>
      <c r="O22" s="60">
        <v>1</v>
      </c>
      <c r="P22" s="60">
        <f t="shared" si="9"/>
        <v>3960000</v>
      </c>
      <c r="Q22" s="60"/>
      <c r="R22" s="61"/>
      <c r="S22" s="60">
        <v>330000</v>
      </c>
      <c r="T22" s="60">
        <v>1</v>
      </c>
      <c r="U22" s="60">
        <f t="shared" si="10"/>
        <v>3960000</v>
      </c>
      <c r="V22" s="61"/>
      <c r="W22" s="61"/>
      <c r="X22" s="60">
        <f t="shared" si="6"/>
        <v>363000.00000000006</v>
      </c>
      <c r="Y22" s="60">
        <v>1</v>
      </c>
      <c r="Z22" s="60">
        <f t="shared" si="11"/>
        <v>4356000.0000000009</v>
      </c>
    </row>
    <row r="23" spans="1:26" s="18" customFormat="1" hidden="1" outlineLevel="1" x14ac:dyDescent="0.3">
      <c r="A23" s="18" t="s">
        <v>45</v>
      </c>
      <c r="C23" s="60"/>
      <c r="D23" s="60">
        <v>300000</v>
      </c>
      <c r="E23" s="60">
        <v>1</v>
      </c>
      <c r="F23" s="60">
        <f t="shared" si="7"/>
        <v>3600000</v>
      </c>
      <c r="G23" s="60"/>
      <c r="H23" s="60"/>
      <c r="I23" s="60">
        <v>300000</v>
      </c>
      <c r="J23" s="60">
        <v>1</v>
      </c>
      <c r="K23" s="60">
        <f t="shared" si="8"/>
        <v>3600000</v>
      </c>
      <c r="L23" s="60"/>
      <c r="M23" s="60"/>
      <c r="N23" s="60">
        <f t="shared" si="5"/>
        <v>330000</v>
      </c>
      <c r="O23" s="60">
        <v>1</v>
      </c>
      <c r="P23" s="60">
        <f t="shared" si="9"/>
        <v>3960000</v>
      </c>
      <c r="Q23" s="60"/>
      <c r="R23" s="61"/>
      <c r="S23" s="60">
        <v>330000</v>
      </c>
      <c r="T23" s="60">
        <v>1</v>
      </c>
      <c r="U23" s="60">
        <f t="shared" si="10"/>
        <v>3960000</v>
      </c>
      <c r="V23" s="61"/>
      <c r="W23" s="61"/>
      <c r="X23" s="60">
        <f t="shared" si="6"/>
        <v>363000.00000000006</v>
      </c>
      <c r="Y23" s="60">
        <v>1</v>
      </c>
      <c r="Z23" s="60">
        <f t="shared" si="11"/>
        <v>4356000.0000000009</v>
      </c>
    </row>
    <row r="24" spans="1:26" s="18" customFormat="1" hidden="1" outlineLevel="1" x14ac:dyDescent="0.3">
      <c r="A24" s="18" t="s">
        <v>46</v>
      </c>
      <c r="C24" s="60"/>
      <c r="D24" s="60">
        <v>300000</v>
      </c>
      <c r="E24" s="60">
        <v>1</v>
      </c>
      <c r="F24" s="60">
        <f t="shared" si="7"/>
        <v>3600000</v>
      </c>
      <c r="G24" s="60"/>
      <c r="H24" s="60"/>
      <c r="I24" s="60">
        <v>300000</v>
      </c>
      <c r="J24" s="60">
        <v>1</v>
      </c>
      <c r="K24" s="60">
        <f t="shared" si="8"/>
        <v>3600000</v>
      </c>
      <c r="L24" s="60"/>
      <c r="M24" s="60"/>
      <c r="N24" s="60">
        <f t="shared" si="5"/>
        <v>330000</v>
      </c>
      <c r="O24" s="60">
        <v>1</v>
      </c>
      <c r="P24" s="60">
        <f t="shared" si="9"/>
        <v>3960000</v>
      </c>
      <c r="Q24" s="60"/>
      <c r="R24" s="61"/>
      <c r="S24" s="60">
        <v>330000</v>
      </c>
      <c r="T24" s="60">
        <v>1</v>
      </c>
      <c r="U24" s="60">
        <f t="shared" si="10"/>
        <v>3960000</v>
      </c>
      <c r="V24" s="61"/>
      <c r="W24" s="61"/>
      <c r="X24" s="60">
        <f t="shared" si="6"/>
        <v>363000.00000000006</v>
      </c>
      <c r="Y24" s="60">
        <v>1</v>
      </c>
      <c r="Z24" s="60">
        <f t="shared" si="11"/>
        <v>4356000.0000000009</v>
      </c>
    </row>
    <row r="25" spans="1:26" s="18" customFormat="1" hidden="1" outlineLevel="1" x14ac:dyDescent="0.3">
      <c r="A25" s="23" t="s">
        <v>48</v>
      </c>
      <c r="B25" s="23"/>
      <c r="C25" s="60"/>
      <c r="D25" s="60">
        <v>30000</v>
      </c>
      <c r="E25" s="60">
        <v>10</v>
      </c>
      <c r="F25" s="60">
        <f t="shared" si="7"/>
        <v>3600000</v>
      </c>
      <c r="G25" s="60"/>
      <c r="H25" s="60"/>
      <c r="I25" s="60">
        <v>30000</v>
      </c>
      <c r="J25" s="60">
        <v>15</v>
      </c>
      <c r="K25" s="60">
        <f t="shared" si="8"/>
        <v>5400000</v>
      </c>
      <c r="L25" s="60"/>
      <c r="M25" s="60"/>
      <c r="N25" s="60">
        <f t="shared" si="5"/>
        <v>33000</v>
      </c>
      <c r="O25" s="60">
        <v>20</v>
      </c>
      <c r="P25" s="60">
        <f t="shared" si="9"/>
        <v>7920000</v>
      </c>
      <c r="Q25" s="60"/>
      <c r="R25" s="61"/>
      <c r="S25" s="60">
        <v>33000</v>
      </c>
      <c r="T25" s="60">
        <v>20</v>
      </c>
      <c r="U25" s="60">
        <f t="shared" si="10"/>
        <v>7920000</v>
      </c>
      <c r="V25" s="61"/>
      <c r="W25" s="61"/>
      <c r="X25" s="60">
        <f t="shared" si="6"/>
        <v>36300</v>
      </c>
      <c r="Y25" s="60">
        <v>20</v>
      </c>
      <c r="Z25" s="60">
        <f t="shared" si="11"/>
        <v>8712000</v>
      </c>
    </row>
    <row r="26" spans="1:26" s="18" customFormat="1" hidden="1" outlineLevel="1" x14ac:dyDescent="0.3">
      <c r="A26" s="23" t="s">
        <v>47</v>
      </c>
      <c r="B26" s="23"/>
      <c r="C26" s="60"/>
      <c r="D26" s="60">
        <v>60000</v>
      </c>
      <c r="E26" s="60">
        <v>5</v>
      </c>
      <c r="F26" s="60">
        <f t="shared" si="7"/>
        <v>3600000</v>
      </c>
      <c r="G26" s="60"/>
      <c r="H26" s="60"/>
      <c r="I26" s="60">
        <v>60000</v>
      </c>
      <c r="J26" s="60">
        <v>8</v>
      </c>
      <c r="K26" s="60">
        <f t="shared" si="8"/>
        <v>5760000</v>
      </c>
      <c r="L26" s="60"/>
      <c r="M26" s="60"/>
      <c r="N26" s="60">
        <f t="shared" si="5"/>
        <v>66000</v>
      </c>
      <c r="O26" s="60">
        <v>8</v>
      </c>
      <c r="P26" s="60">
        <f t="shared" si="9"/>
        <v>6336000</v>
      </c>
      <c r="Q26" s="60"/>
      <c r="R26" s="61"/>
      <c r="S26" s="60">
        <v>66000</v>
      </c>
      <c r="T26" s="60">
        <v>9</v>
      </c>
      <c r="U26" s="60">
        <f t="shared" si="10"/>
        <v>7128000</v>
      </c>
      <c r="V26" s="61"/>
      <c r="W26" s="61"/>
      <c r="X26" s="60">
        <f t="shared" si="6"/>
        <v>72600</v>
      </c>
      <c r="Y26" s="60">
        <v>9</v>
      </c>
      <c r="Z26" s="60">
        <f t="shared" si="11"/>
        <v>7840800</v>
      </c>
    </row>
    <row r="27" spans="1:26" s="18" customFormat="1" hidden="1" outlineLevel="1" x14ac:dyDescent="0.3">
      <c r="A27" s="18" t="s">
        <v>97</v>
      </c>
      <c r="C27" s="60"/>
      <c r="D27" s="60">
        <v>50000</v>
      </c>
      <c r="E27" s="60"/>
      <c r="F27" s="60">
        <f>D27*12</f>
        <v>600000</v>
      </c>
      <c r="G27" s="60"/>
      <c r="H27" s="60"/>
      <c r="I27" s="60">
        <v>50000</v>
      </c>
      <c r="J27" s="60"/>
      <c r="K27" s="60">
        <f>I27*12</f>
        <v>600000</v>
      </c>
      <c r="L27" s="60"/>
      <c r="M27" s="60"/>
      <c r="N27" s="60">
        <v>50000</v>
      </c>
      <c r="O27" s="60"/>
      <c r="P27" s="60">
        <f>N27*12</f>
        <v>600000</v>
      </c>
      <c r="Q27" s="60"/>
      <c r="R27" s="61"/>
      <c r="S27" s="60">
        <v>50000</v>
      </c>
      <c r="T27" s="60"/>
      <c r="U27" s="60">
        <f>S27*12</f>
        <v>600000</v>
      </c>
      <c r="V27" s="61"/>
      <c r="W27" s="61"/>
      <c r="X27" s="60">
        <v>50000</v>
      </c>
      <c r="Y27" s="60"/>
      <c r="Z27" s="60">
        <f>X27*12</f>
        <v>600000</v>
      </c>
    </row>
    <row r="28" spans="1:26" s="18" customFormat="1" hidden="1" outlineLevel="1" x14ac:dyDescent="0.3">
      <c r="A28" s="18" t="s">
        <v>50</v>
      </c>
      <c r="C28" s="60"/>
      <c r="D28" s="60">
        <v>200000</v>
      </c>
      <c r="E28" s="60"/>
      <c r="F28" s="60">
        <f>D28*12</f>
        <v>2400000</v>
      </c>
      <c r="G28" s="60"/>
      <c r="H28" s="60"/>
      <c r="I28" s="60">
        <v>200000</v>
      </c>
      <c r="J28" s="60"/>
      <c r="K28" s="60">
        <f>I28*12</f>
        <v>2400000</v>
      </c>
      <c r="L28" s="60"/>
      <c r="M28" s="60"/>
      <c r="N28" s="60">
        <v>200000</v>
      </c>
      <c r="O28" s="60"/>
      <c r="P28" s="60">
        <f>N28*12</f>
        <v>2400000</v>
      </c>
      <c r="Q28" s="60"/>
      <c r="R28" s="61"/>
      <c r="S28" s="60">
        <v>200000</v>
      </c>
      <c r="T28" s="60"/>
      <c r="U28" s="60">
        <f>S28*12</f>
        <v>2400000</v>
      </c>
      <c r="V28" s="61"/>
      <c r="W28" s="61"/>
      <c r="X28" s="60">
        <v>200000</v>
      </c>
      <c r="Y28" s="60"/>
      <c r="Z28" s="60">
        <f>X28*12</f>
        <v>2400000</v>
      </c>
    </row>
    <row r="29" spans="1:26" s="18" customFormat="1" ht="17.25" hidden="1" outlineLevel="1" thickBot="1" x14ac:dyDescent="0.35">
      <c r="C29" s="60"/>
      <c r="D29" s="60"/>
      <c r="E29" s="60"/>
      <c r="F29" s="62">
        <f>SUM(F18:F28)</f>
        <v>73800000</v>
      </c>
      <c r="G29" s="60"/>
      <c r="H29" s="60"/>
      <c r="I29" s="60"/>
      <c r="J29" s="60"/>
      <c r="K29" s="62">
        <f>SUM(K18:K28)</f>
        <v>96960000</v>
      </c>
      <c r="L29" s="60"/>
      <c r="M29" s="60"/>
      <c r="N29" s="60"/>
      <c r="O29" s="60"/>
      <c r="P29" s="62">
        <f>SUM(P18:P28)</f>
        <v>112296000</v>
      </c>
      <c r="Q29" s="60"/>
      <c r="R29" s="61"/>
      <c r="S29" s="60"/>
      <c r="T29" s="60"/>
      <c r="U29" s="62">
        <f>SUM(U18:U28)</f>
        <v>121668000</v>
      </c>
      <c r="V29" s="61"/>
      <c r="W29" s="61"/>
      <c r="X29" s="60"/>
      <c r="Y29" s="60"/>
      <c r="Z29" s="62">
        <f>SUM(Z18:Z28)</f>
        <v>133534800.00000003</v>
      </c>
    </row>
    <row r="30" spans="1:26" s="18" customFormat="1" ht="17.25" hidden="1" outlineLevel="1" thickTop="1" x14ac:dyDescent="0.3">
      <c r="A30" s="18" t="s">
        <v>51</v>
      </c>
      <c r="C30" s="60"/>
      <c r="D30" s="60">
        <f>SUM(D18:D28)*0.0145</f>
        <v>38280</v>
      </c>
      <c r="E30" s="60"/>
      <c r="F30" s="60">
        <f>D30*12</f>
        <v>459360</v>
      </c>
      <c r="G30" s="60"/>
      <c r="H30" s="60"/>
      <c r="I30" s="60">
        <f>SUM($I$204:$I$214)*0.0145</f>
        <v>40455</v>
      </c>
      <c r="J30" s="60"/>
      <c r="K30" s="60">
        <f>I30*12</f>
        <v>485460</v>
      </c>
      <c r="L30" s="60"/>
      <c r="M30" s="60"/>
      <c r="N30" s="60">
        <f>SUM(N18:N28)*0.0145</f>
        <v>41745.5</v>
      </c>
      <c r="O30" s="60"/>
      <c r="P30" s="60">
        <f>N30*12</f>
        <v>500946</v>
      </c>
      <c r="Q30" s="60"/>
      <c r="R30" s="61"/>
      <c r="S30" s="60">
        <f>SUM(S18:S28)*0.0145</f>
        <v>41745.5</v>
      </c>
      <c r="T30" s="60"/>
      <c r="U30" s="60">
        <f>S30*12</f>
        <v>500946</v>
      </c>
      <c r="V30" s="61"/>
      <c r="W30" s="61"/>
      <c r="X30" s="60">
        <f>SUM(X18:X28)*0.0145</f>
        <v>45557.55</v>
      </c>
      <c r="Y30" s="60"/>
      <c r="Z30" s="60">
        <f>X30*12</f>
        <v>546690.60000000009</v>
      </c>
    </row>
    <row r="31" spans="1:26" s="18" customFormat="1" hidden="1" outlineLevel="1" x14ac:dyDescent="0.3">
      <c r="A31" s="24" t="str">
        <f>"-House"</f>
        <v>-House</v>
      </c>
      <c r="B31" s="24"/>
      <c r="C31" s="60"/>
      <c r="D31" s="60">
        <f>SUM(D18:D28)*0.0105</f>
        <v>27720</v>
      </c>
      <c r="E31" s="60"/>
      <c r="F31" s="60">
        <f t="shared" ref="F31" si="12">D31*12</f>
        <v>332640</v>
      </c>
      <c r="G31" s="60"/>
      <c r="H31" s="60"/>
      <c r="I31" s="60">
        <f>SUM($I$204:$I$214)*0.0105</f>
        <v>29295</v>
      </c>
      <c r="J31" s="60"/>
      <c r="K31" s="60">
        <f t="shared" ref="K31" si="13">I31*12</f>
        <v>351540</v>
      </c>
      <c r="L31" s="60"/>
      <c r="M31" s="60"/>
      <c r="N31" s="60">
        <f>SUM(N18:N28)*0.0105</f>
        <v>30229.500000000004</v>
      </c>
      <c r="O31" s="60"/>
      <c r="P31" s="60">
        <f t="shared" ref="P31" si="14">N31*12</f>
        <v>362754.00000000006</v>
      </c>
      <c r="Q31" s="60"/>
      <c r="R31" s="61"/>
      <c r="S31" s="60">
        <f>SUM(S18:S28)*0.0105</f>
        <v>30229.500000000004</v>
      </c>
      <c r="T31" s="60"/>
      <c r="U31" s="60">
        <f t="shared" ref="U31" si="15">S31*12</f>
        <v>362754.00000000006</v>
      </c>
      <c r="V31" s="61"/>
      <c r="W31" s="61"/>
      <c r="X31" s="60">
        <f>SUM(X18:X28)*0.0105</f>
        <v>32989.950000000004</v>
      </c>
      <c r="Y31" s="60"/>
      <c r="Z31" s="60">
        <f t="shared" ref="Z31" si="16">X31*12</f>
        <v>395879.4</v>
      </c>
    </row>
    <row r="32" spans="1:26" s="18" customFormat="1" hidden="1" outlineLevel="1" x14ac:dyDescent="0.3">
      <c r="A32" s="24" t="str">
        <f>"-Transport"</f>
        <v>-Transport</v>
      </c>
      <c r="B32" s="24"/>
      <c r="C32" s="60"/>
      <c r="D32" s="60">
        <f>SUM(D18:D28)*0.0175</f>
        <v>46200.000000000007</v>
      </c>
      <c r="E32" s="60"/>
      <c r="F32" s="60">
        <f>D32*12</f>
        <v>554400.00000000012</v>
      </c>
      <c r="G32" s="60"/>
      <c r="H32" s="60"/>
      <c r="I32" s="60">
        <f>SUM($I$204:$I$214)*0.0175</f>
        <v>48825.000000000007</v>
      </c>
      <c r="J32" s="60"/>
      <c r="K32" s="60">
        <f>I32*12</f>
        <v>585900.00000000012</v>
      </c>
      <c r="L32" s="60"/>
      <c r="M32" s="60"/>
      <c r="N32" s="60">
        <f>SUM(N18:N28)*0.0175</f>
        <v>50382.500000000007</v>
      </c>
      <c r="O32" s="60"/>
      <c r="P32" s="60">
        <f>N32*12</f>
        <v>604590.00000000012</v>
      </c>
      <c r="Q32" s="60"/>
      <c r="R32" s="61"/>
      <c r="S32" s="60">
        <f>SUM(S18:S28)*0.0175</f>
        <v>50382.500000000007</v>
      </c>
      <c r="T32" s="60"/>
      <c r="U32" s="60">
        <f>S32*12</f>
        <v>604590.00000000012</v>
      </c>
      <c r="V32" s="61"/>
      <c r="W32" s="61"/>
      <c r="X32" s="60">
        <f>SUM(X18:X28)*0.0175</f>
        <v>54983.250000000007</v>
      </c>
      <c r="Y32" s="60"/>
      <c r="Z32" s="60">
        <f>X32*12</f>
        <v>659799.00000000012</v>
      </c>
    </row>
    <row r="33" spans="1:26" s="18" customFormat="1" hidden="1" outlineLevel="1" x14ac:dyDescent="0.3">
      <c r="A33" s="18" t="s">
        <v>52</v>
      </c>
      <c r="C33" s="60"/>
      <c r="D33" s="60">
        <v>80000</v>
      </c>
      <c r="E33" s="60">
        <v>1</v>
      </c>
      <c r="F33" s="60">
        <f>D33*12*E33</f>
        <v>960000</v>
      </c>
      <c r="G33" s="60"/>
      <c r="H33" s="60"/>
      <c r="I33" s="60">
        <v>80000</v>
      </c>
      <c r="J33" s="60">
        <v>1</v>
      </c>
      <c r="K33" s="60">
        <f>I33*12*J33</f>
        <v>960000</v>
      </c>
      <c r="L33" s="60"/>
      <c r="M33" s="60"/>
      <c r="N33" s="60">
        <v>165000</v>
      </c>
      <c r="O33" s="60">
        <v>1</v>
      </c>
      <c r="P33" s="60">
        <f>N33*12*O33</f>
        <v>1980000</v>
      </c>
      <c r="Q33" s="60"/>
      <c r="R33" s="61"/>
      <c r="S33" s="60">
        <v>165000</v>
      </c>
      <c r="T33" s="60">
        <v>1</v>
      </c>
      <c r="U33" s="60">
        <f>S33*12*T33</f>
        <v>1980000</v>
      </c>
      <c r="V33" s="61"/>
      <c r="W33" s="61"/>
      <c r="X33" s="60">
        <v>181500</v>
      </c>
      <c r="Y33" s="60">
        <v>1</v>
      </c>
      <c r="Z33" s="60">
        <f>X33*12*Y33</f>
        <v>2178000</v>
      </c>
    </row>
    <row r="34" spans="1:26" s="18" customFormat="1" hidden="1" outlineLevel="1" x14ac:dyDescent="0.3">
      <c r="A34" s="18" t="s">
        <v>53</v>
      </c>
      <c r="C34" s="60"/>
      <c r="D34" s="60">
        <v>60000</v>
      </c>
      <c r="E34" s="60">
        <v>1</v>
      </c>
      <c r="F34" s="60">
        <f t="shared" ref="F34:F35" si="17">D34*12*E34</f>
        <v>720000</v>
      </c>
      <c r="G34" s="60"/>
      <c r="H34" s="60"/>
      <c r="I34" s="60">
        <v>60000</v>
      </c>
      <c r="J34" s="60">
        <v>1</v>
      </c>
      <c r="K34" s="60">
        <f t="shared" ref="K34:K35" si="18">I34*12*J34</f>
        <v>720000</v>
      </c>
      <c r="L34" s="60"/>
      <c r="M34" s="60"/>
      <c r="N34" s="60">
        <v>77000</v>
      </c>
      <c r="O34" s="60">
        <v>1</v>
      </c>
      <c r="P34" s="60">
        <f t="shared" ref="P34:P35" si="19">N34*12*O34</f>
        <v>924000</v>
      </c>
      <c r="Q34" s="60"/>
      <c r="R34" s="61"/>
      <c r="S34" s="60">
        <v>77000</v>
      </c>
      <c r="T34" s="60">
        <v>1</v>
      </c>
      <c r="U34" s="60">
        <f t="shared" ref="U34:U35" si="20">S34*12*T34</f>
        <v>924000</v>
      </c>
      <c r="V34" s="61"/>
      <c r="W34" s="61"/>
      <c r="X34" s="60">
        <v>84700</v>
      </c>
      <c r="Y34" s="60">
        <v>1</v>
      </c>
      <c r="Z34" s="60">
        <f t="shared" ref="Z34:Z35" si="21">X34*12*Y34</f>
        <v>1016400</v>
      </c>
    </row>
    <row r="35" spans="1:26" s="18" customFormat="1" hidden="1" outlineLevel="1" x14ac:dyDescent="0.3">
      <c r="A35" s="18" t="s">
        <v>54</v>
      </c>
      <c r="C35" s="60"/>
      <c r="D35" s="60">
        <v>30000</v>
      </c>
      <c r="E35" s="60">
        <v>10</v>
      </c>
      <c r="F35" s="60">
        <f t="shared" si="17"/>
        <v>3600000</v>
      </c>
      <c r="G35" s="60"/>
      <c r="H35" s="60"/>
      <c r="I35" s="60">
        <v>6000</v>
      </c>
      <c r="J35" s="60">
        <v>10</v>
      </c>
      <c r="K35" s="60">
        <f t="shared" si="18"/>
        <v>720000</v>
      </c>
      <c r="L35" s="60"/>
      <c r="M35" s="60"/>
      <c r="N35" s="60"/>
      <c r="O35" s="60"/>
      <c r="P35" s="60">
        <f t="shared" si="19"/>
        <v>0</v>
      </c>
      <c r="Q35" s="60"/>
      <c r="R35" s="61"/>
      <c r="S35" s="60"/>
      <c r="T35" s="60"/>
      <c r="U35" s="60">
        <f t="shared" si="20"/>
        <v>0</v>
      </c>
      <c r="V35" s="61"/>
      <c r="W35" s="61"/>
      <c r="X35" s="60"/>
      <c r="Y35" s="60"/>
      <c r="Z35" s="60">
        <f t="shared" si="21"/>
        <v>0</v>
      </c>
    </row>
    <row r="36" spans="1:26" s="18" customFormat="1" ht="17.25" hidden="1" outlineLevel="1" thickBot="1" x14ac:dyDescent="0.35">
      <c r="C36" s="60"/>
      <c r="D36" s="60"/>
      <c r="E36" s="60"/>
      <c r="F36" s="62">
        <f>SUM(F30:F35)+F29</f>
        <v>80426400</v>
      </c>
      <c r="G36" s="60"/>
      <c r="H36" s="60"/>
      <c r="I36" s="60"/>
      <c r="J36" s="60"/>
      <c r="K36" s="62">
        <f>SUM(K30:K35)+K29</f>
        <v>100782900</v>
      </c>
      <c r="L36" s="60"/>
      <c r="M36" s="60"/>
      <c r="N36" s="60"/>
      <c r="O36" s="60"/>
      <c r="P36" s="62">
        <f>SUM(P30:P35)+P29</f>
        <v>116668290</v>
      </c>
      <c r="Q36" s="60"/>
      <c r="R36" s="61"/>
      <c r="S36" s="60"/>
      <c r="T36" s="60"/>
      <c r="U36" s="62">
        <f>SUM(U30:U35)+U29</f>
        <v>126040290</v>
      </c>
      <c r="V36" s="61"/>
      <c r="W36" s="61"/>
      <c r="X36" s="60"/>
      <c r="Y36" s="60"/>
      <c r="Z36" s="62">
        <f>SUM(Z30:Z35)+Z29</f>
        <v>138331569.00000003</v>
      </c>
    </row>
    <row r="37" spans="1:26" s="18" customFormat="1" ht="17.25" hidden="1" outlineLevel="1" thickTop="1" x14ac:dyDescent="0.3">
      <c r="C37" s="60"/>
      <c r="D37" s="61"/>
      <c r="E37" s="61"/>
      <c r="F37" s="61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1"/>
      <c r="V37" s="61"/>
      <c r="W37" s="61"/>
      <c r="X37" s="61"/>
      <c r="Y37" s="61"/>
      <c r="Z37" s="61"/>
    </row>
    <row r="38" spans="1:26" s="18" customFormat="1" ht="17.25" hidden="1" outlineLevel="1" x14ac:dyDescent="0.35">
      <c r="A38" s="25" t="s">
        <v>60</v>
      </c>
      <c r="B38" s="25"/>
      <c r="C38" s="60"/>
      <c r="D38" s="61"/>
      <c r="E38" s="61"/>
      <c r="F38" s="61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1"/>
      <c r="V38" s="61"/>
      <c r="W38" s="61"/>
      <c r="X38" s="61"/>
      <c r="Y38" s="61"/>
      <c r="Z38" s="61"/>
    </row>
    <row r="39" spans="1:26" s="18" customFormat="1" hidden="1" outlineLevel="1" x14ac:dyDescent="0.3">
      <c r="A39" s="18" t="s">
        <v>99</v>
      </c>
      <c r="C39" s="60"/>
      <c r="D39" s="61"/>
      <c r="E39" s="61"/>
      <c r="F39" s="60">
        <v>2000000</v>
      </c>
      <c r="G39" s="60"/>
      <c r="H39" s="60"/>
      <c r="I39" s="61"/>
      <c r="J39" s="61"/>
      <c r="K39" s="60">
        <v>2000000</v>
      </c>
      <c r="L39" s="60"/>
      <c r="M39" s="60"/>
      <c r="N39" s="61"/>
      <c r="O39" s="61"/>
      <c r="P39" s="60">
        <v>2000000</v>
      </c>
      <c r="Q39" s="60"/>
      <c r="R39" s="60"/>
      <c r="S39" s="61"/>
      <c r="T39" s="61"/>
      <c r="U39" s="60">
        <v>2000000</v>
      </c>
      <c r="V39" s="61"/>
      <c r="W39" s="61"/>
      <c r="X39" s="61"/>
      <c r="Y39" s="61"/>
      <c r="Z39" s="60">
        <v>2000000</v>
      </c>
    </row>
    <row r="40" spans="1:26" s="18" customFormat="1" hidden="1" outlineLevel="1" x14ac:dyDescent="0.3">
      <c r="A40" s="18" t="s">
        <v>61</v>
      </c>
      <c r="C40" s="60"/>
      <c r="D40" s="61">
        <v>60000</v>
      </c>
      <c r="E40" s="61">
        <v>12</v>
      </c>
      <c r="F40" s="60">
        <f>E40*D40</f>
        <v>720000</v>
      </c>
      <c r="G40" s="60"/>
      <c r="H40" s="63"/>
      <c r="I40" s="61">
        <v>75000</v>
      </c>
      <c r="J40" s="61">
        <v>12</v>
      </c>
      <c r="K40" s="60">
        <f>J40*I40</f>
        <v>900000</v>
      </c>
      <c r="L40" s="60"/>
      <c r="M40" s="60"/>
      <c r="N40" s="61">
        <v>93750</v>
      </c>
      <c r="O40" s="61">
        <v>12</v>
      </c>
      <c r="P40" s="60">
        <f>O40*N40</f>
        <v>1125000</v>
      </c>
      <c r="Q40" s="60"/>
      <c r="R40" s="60"/>
      <c r="S40" s="61">
        <v>117188</v>
      </c>
      <c r="T40" s="61">
        <v>12</v>
      </c>
      <c r="U40" s="60">
        <f>T40*S40</f>
        <v>1406256</v>
      </c>
      <c r="V40" s="61"/>
      <c r="W40" s="61"/>
      <c r="X40" s="61">
        <v>146484</v>
      </c>
      <c r="Y40" s="61">
        <v>12</v>
      </c>
      <c r="Z40" s="60">
        <f>Y40*X40</f>
        <v>1757808</v>
      </c>
    </row>
    <row r="41" spans="1:26" s="18" customFormat="1" hidden="1" outlineLevel="1" x14ac:dyDescent="0.3">
      <c r="A41" s="18" t="s">
        <v>98</v>
      </c>
      <c r="C41" s="60"/>
      <c r="D41" s="61"/>
      <c r="E41" s="61"/>
      <c r="F41" s="60">
        <v>1000000</v>
      </c>
      <c r="G41" s="60"/>
      <c r="H41" s="63"/>
      <c r="I41" s="61"/>
      <c r="J41" s="61"/>
      <c r="K41" s="60">
        <v>1000000</v>
      </c>
      <c r="L41" s="60"/>
      <c r="M41" s="60"/>
      <c r="N41" s="61"/>
      <c r="O41" s="61"/>
      <c r="P41" s="60">
        <v>1000000</v>
      </c>
      <c r="Q41" s="60"/>
      <c r="R41" s="60"/>
      <c r="S41" s="61"/>
      <c r="T41" s="61"/>
      <c r="U41" s="60">
        <v>1000000</v>
      </c>
      <c r="V41" s="61"/>
      <c r="W41" s="61"/>
      <c r="X41" s="61"/>
      <c r="Y41" s="61"/>
      <c r="Z41" s="60">
        <v>1000000</v>
      </c>
    </row>
    <row r="42" spans="1:26" s="18" customFormat="1" hidden="1" outlineLevel="1" x14ac:dyDescent="0.3">
      <c r="A42" s="18" t="s">
        <v>62</v>
      </c>
      <c r="C42" s="60"/>
      <c r="D42" s="61">
        <v>60000</v>
      </c>
      <c r="E42" s="61">
        <v>12</v>
      </c>
      <c r="F42" s="60">
        <f t="shared" ref="F42:F46" si="22">E42*D42</f>
        <v>720000</v>
      </c>
      <c r="G42" s="60"/>
      <c r="H42" s="63"/>
      <c r="I42" s="61">
        <v>100000</v>
      </c>
      <c r="J42" s="61">
        <v>12</v>
      </c>
      <c r="K42" s="60">
        <f t="shared" ref="K42:K46" si="23">J42*I42</f>
        <v>1200000</v>
      </c>
      <c r="L42" s="60"/>
      <c r="M42" s="60"/>
      <c r="N42" s="61">
        <v>140625</v>
      </c>
      <c r="O42" s="61">
        <v>12</v>
      </c>
      <c r="P42" s="60">
        <f t="shared" ref="P42:P46" si="24">O42*N42</f>
        <v>1687500</v>
      </c>
      <c r="Q42" s="60"/>
      <c r="R42" s="60"/>
      <c r="S42" s="61">
        <v>156250</v>
      </c>
      <c r="T42" s="61">
        <v>12</v>
      </c>
      <c r="U42" s="60">
        <f t="shared" ref="U42:U46" si="25">T42*S42</f>
        <v>1875000</v>
      </c>
      <c r="V42" s="61"/>
      <c r="W42" s="61"/>
      <c r="X42" s="61">
        <v>195313</v>
      </c>
      <c r="Y42" s="61">
        <v>12</v>
      </c>
      <c r="Z42" s="60">
        <f t="shared" ref="Z42:Z46" si="26">Y42*X42</f>
        <v>2343756</v>
      </c>
    </row>
    <row r="43" spans="1:26" s="18" customFormat="1" hidden="1" outlineLevel="1" x14ac:dyDescent="0.3">
      <c r="A43" s="18" t="s">
        <v>95</v>
      </c>
      <c r="C43" s="60"/>
      <c r="D43" s="61">
        <v>50000</v>
      </c>
      <c r="E43" s="61">
        <v>12</v>
      </c>
      <c r="F43" s="60">
        <f t="shared" si="22"/>
        <v>600000</v>
      </c>
      <c r="G43" s="60"/>
      <c r="H43" s="63"/>
      <c r="I43" s="61">
        <v>75000</v>
      </c>
      <c r="J43" s="61">
        <v>12</v>
      </c>
      <c r="K43" s="60">
        <f t="shared" si="23"/>
        <v>900000</v>
      </c>
      <c r="L43" s="60"/>
      <c r="M43" s="60"/>
      <c r="N43" s="61">
        <v>93750</v>
      </c>
      <c r="O43" s="61">
        <v>12</v>
      </c>
      <c r="P43" s="60">
        <f t="shared" si="24"/>
        <v>1125000</v>
      </c>
      <c r="Q43" s="60"/>
      <c r="R43" s="60"/>
      <c r="S43" s="61">
        <v>117188</v>
      </c>
      <c r="T43" s="61">
        <v>12</v>
      </c>
      <c r="U43" s="60">
        <f t="shared" si="25"/>
        <v>1406256</v>
      </c>
      <c r="V43" s="61"/>
      <c r="W43" s="61"/>
      <c r="X43" s="61">
        <v>146484</v>
      </c>
      <c r="Y43" s="61">
        <v>12</v>
      </c>
      <c r="Z43" s="60">
        <f t="shared" si="26"/>
        <v>1757808</v>
      </c>
    </row>
    <row r="44" spans="1:26" s="18" customFormat="1" hidden="1" outlineLevel="1" x14ac:dyDescent="0.3">
      <c r="A44" s="18" t="s">
        <v>96</v>
      </c>
      <c r="C44" s="60"/>
      <c r="D44" s="61"/>
      <c r="E44" s="61"/>
      <c r="F44" s="60">
        <v>200000</v>
      </c>
      <c r="G44" s="60"/>
      <c r="H44" s="63"/>
      <c r="I44" s="61"/>
      <c r="J44" s="61"/>
      <c r="K44" s="60">
        <v>200000</v>
      </c>
      <c r="L44" s="60"/>
      <c r="M44" s="60"/>
      <c r="N44" s="61"/>
      <c r="O44" s="61"/>
      <c r="P44" s="60">
        <v>200000</v>
      </c>
      <c r="Q44" s="60"/>
      <c r="R44" s="60"/>
      <c r="S44" s="61"/>
      <c r="T44" s="61"/>
      <c r="U44" s="60">
        <v>200000</v>
      </c>
      <c r="V44" s="61"/>
      <c r="W44" s="61"/>
      <c r="X44" s="61"/>
      <c r="Y44" s="61"/>
      <c r="Z44" s="60">
        <v>200000</v>
      </c>
    </row>
    <row r="45" spans="1:26" s="18" customFormat="1" hidden="1" outlineLevel="1" x14ac:dyDescent="0.3">
      <c r="A45" s="18" t="s">
        <v>100</v>
      </c>
      <c r="C45" s="60"/>
      <c r="D45" s="61">
        <v>100000</v>
      </c>
      <c r="E45" s="61">
        <v>12</v>
      </c>
      <c r="F45" s="60">
        <f t="shared" si="22"/>
        <v>1200000</v>
      </c>
      <c r="G45" s="60"/>
      <c r="H45" s="63"/>
      <c r="I45" s="61">
        <v>100000</v>
      </c>
      <c r="J45" s="61">
        <v>12</v>
      </c>
      <c r="K45" s="60">
        <f t="shared" si="23"/>
        <v>1200000</v>
      </c>
      <c r="L45" s="60"/>
      <c r="M45" s="60"/>
      <c r="N45" s="61">
        <v>100000</v>
      </c>
      <c r="O45" s="61">
        <v>12</v>
      </c>
      <c r="P45" s="60">
        <f t="shared" si="24"/>
        <v>1200000</v>
      </c>
      <c r="Q45" s="60"/>
      <c r="R45" s="60"/>
      <c r="S45" s="61">
        <v>100000</v>
      </c>
      <c r="T45" s="61">
        <v>12</v>
      </c>
      <c r="U45" s="60">
        <f t="shared" si="25"/>
        <v>1200000</v>
      </c>
      <c r="V45" s="61"/>
      <c r="W45" s="61"/>
      <c r="X45" s="61">
        <v>100000</v>
      </c>
      <c r="Y45" s="61">
        <v>12</v>
      </c>
      <c r="Z45" s="60">
        <f t="shared" si="26"/>
        <v>1200000</v>
      </c>
    </row>
    <row r="46" spans="1:26" s="18" customFormat="1" hidden="1" outlineLevel="1" x14ac:dyDescent="0.3">
      <c r="A46" s="18" t="s">
        <v>63</v>
      </c>
      <c r="C46" s="60"/>
      <c r="D46" s="61">
        <v>80000</v>
      </c>
      <c r="E46" s="61">
        <v>12</v>
      </c>
      <c r="F46" s="60">
        <f t="shared" si="22"/>
        <v>960000</v>
      </c>
      <c r="G46" s="60"/>
      <c r="H46" s="63"/>
      <c r="I46" s="61">
        <v>87500</v>
      </c>
      <c r="J46" s="61">
        <v>12</v>
      </c>
      <c r="K46" s="60">
        <f t="shared" si="23"/>
        <v>1050000</v>
      </c>
      <c r="L46" s="60"/>
      <c r="M46" s="60"/>
      <c r="N46" s="61">
        <v>109375</v>
      </c>
      <c r="O46" s="61">
        <v>12</v>
      </c>
      <c r="P46" s="60">
        <f t="shared" si="24"/>
        <v>1312500</v>
      </c>
      <c r="Q46" s="60"/>
      <c r="R46" s="60"/>
      <c r="S46" s="61">
        <v>136719</v>
      </c>
      <c r="T46" s="61">
        <v>12</v>
      </c>
      <c r="U46" s="60">
        <f t="shared" si="25"/>
        <v>1640628</v>
      </c>
      <c r="V46" s="61"/>
      <c r="W46" s="61"/>
      <c r="X46" s="61">
        <v>170898</v>
      </c>
      <c r="Y46" s="61">
        <v>12</v>
      </c>
      <c r="Z46" s="60">
        <f t="shared" si="26"/>
        <v>2050776</v>
      </c>
    </row>
    <row r="47" spans="1:26" s="18" customFormat="1" hidden="1" outlineLevel="1" x14ac:dyDescent="0.3">
      <c r="A47" s="18" t="s">
        <v>64</v>
      </c>
      <c r="C47" s="60"/>
      <c r="D47" s="61">
        <v>250000</v>
      </c>
      <c r="E47" s="61">
        <v>12</v>
      </c>
      <c r="F47" s="60">
        <f>E47*D47</f>
        <v>3000000</v>
      </c>
      <c r="G47" s="60"/>
      <c r="H47" s="63"/>
      <c r="I47" s="61">
        <v>500000</v>
      </c>
      <c r="J47" s="61">
        <v>12</v>
      </c>
      <c r="K47" s="60">
        <f>J47*I47</f>
        <v>6000000</v>
      </c>
      <c r="L47" s="60"/>
      <c r="M47" s="60"/>
      <c r="N47" s="61">
        <v>510000</v>
      </c>
      <c r="O47" s="61">
        <v>12</v>
      </c>
      <c r="P47" s="60">
        <f>O47*N47</f>
        <v>6120000</v>
      </c>
      <c r="Q47" s="60"/>
      <c r="R47" s="60"/>
      <c r="S47" s="61">
        <v>520000</v>
      </c>
      <c r="T47" s="61">
        <v>12</v>
      </c>
      <c r="U47" s="60">
        <f>T47*S47</f>
        <v>6240000</v>
      </c>
      <c r="V47" s="61"/>
      <c r="W47" s="61"/>
      <c r="X47" s="61">
        <v>540000</v>
      </c>
      <c r="Y47" s="61">
        <v>12</v>
      </c>
      <c r="Z47" s="60">
        <f>Y47*X47</f>
        <v>6480000</v>
      </c>
    </row>
    <row r="48" spans="1:26" s="18" customFormat="1" hidden="1" outlineLevel="1" x14ac:dyDescent="0.3">
      <c r="A48" s="18" t="s">
        <v>70</v>
      </c>
      <c r="C48" s="60"/>
      <c r="D48" s="61">
        <v>62500</v>
      </c>
      <c r="E48" s="61">
        <v>12</v>
      </c>
      <c r="F48" s="60">
        <f>E48*D48</f>
        <v>750000</v>
      </c>
      <c r="G48" s="60"/>
      <c r="H48" s="63"/>
      <c r="I48" s="61">
        <v>125000</v>
      </c>
      <c r="J48" s="61">
        <v>12</v>
      </c>
      <c r="K48" s="60">
        <f>J48*I48</f>
        <v>1500000</v>
      </c>
      <c r="L48" s="60"/>
      <c r="M48" s="60"/>
      <c r="N48" s="61"/>
      <c r="O48" s="61"/>
      <c r="P48" s="60">
        <f>O48*N48</f>
        <v>0</v>
      </c>
      <c r="Q48" s="60"/>
      <c r="R48" s="60"/>
      <c r="S48" s="61">
        <v>193313</v>
      </c>
      <c r="T48" s="61">
        <v>12</v>
      </c>
      <c r="U48" s="60">
        <f>T48*S48</f>
        <v>2319756</v>
      </c>
      <c r="V48" s="61"/>
      <c r="W48" s="61"/>
      <c r="X48" s="61">
        <v>202141</v>
      </c>
      <c r="Y48" s="61">
        <v>12</v>
      </c>
      <c r="Z48" s="60">
        <f>Y48*X48</f>
        <v>2425692</v>
      </c>
    </row>
    <row r="49" spans="1:26" s="18" customFormat="1" ht="17.25" hidden="1" outlineLevel="1" thickBot="1" x14ac:dyDescent="0.35">
      <c r="C49" s="60"/>
      <c r="D49" s="61"/>
      <c r="E49" s="61"/>
      <c r="F49" s="64">
        <f>SUM(F39:F48)</f>
        <v>11150000</v>
      </c>
      <c r="G49" s="60"/>
      <c r="H49" s="60"/>
      <c r="I49" s="61"/>
      <c r="J49" s="61"/>
      <c r="K49" s="64">
        <f>SUM(K39:K48)</f>
        <v>15950000</v>
      </c>
      <c r="L49" s="60"/>
      <c r="M49" s="60"/>
      <c r="N49" s="61"/>
      <c r="O49" s="61"/>
      <c r="P49" s="64">
        <f>SUM(P39:P48)</f>
        <v>15770000</v>
      </c>
      <c r="Q49" s="60"/>
      <c r="R49" s="60"/>
      <c r="S49" s="61"/>
      <c r="T49" s="61"/>
      <c r="U49" s="64">
        <f>SUM(U39:U48)</f>
        <v>19287896</v>
      </c>
      <c r="V49" s="61"/>
      <c r="W49" s="61"/>
      <c r="X49" s="61"/>
      <c r="Y49" s="61"/>
      <c r="Z49" s="64">
        <f>SUM(Z39:Z48)</f>
        <v>21215840</v>
      </c>
    </row>
    <row r="50" spans="1:26" s="18" customFormat="1" ht="17.25" hidden="1" outlineLevel="1" thickTop="1" x14ac:dyDescent="0.3"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1"/>
      <c r="W50" s="61"/>
      <c r="X50" s="60"/>
      <c r="Y50" s="60"/>
      <c r="Z50" s="60"/>
    </row>
    <row r="51" spans="1:26" s="18" customFormat="1" ht="17.25" hidden="1" outlineLevel="1" x14ac:dyDescent="0.35">
      <c r="A51" s="25" t="s">
        <v>102</v>
      </c>
      <c r="B51" s="25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1"/>
      <c r="W51" s="61"/>
      <c r="X51" s="60"/>
      <c r="Y51" s="60"/>
      <c r="Z51" s="60"/>
    </row>
    <row r="52" spans="1:26" s="18" customFormat="1" hidden="1" outlineLevel="1" x14ac:dyDescent="0.3">
      <c r="A52" s="18" t="s">
        <v>91</v>
      </c>
      <c r="C52" s="60"/>
      <c r="D52" s="60"/>
      <c r="E52" s="60"/>
      <c r="F52" s="60">
        <v>200000</v>
      </c>
      <c r="G52" s="60"/>
      <c r="H52" s="60"/>
      <c r="I52" s="60"/>
      <c r="J52" s="60"/>
      <c r="K52" s="60">
        <v>200000</v>
      </c>
      <c r="L52" s="60"/>
      <c r="M52" s="60"/>
      <c r="N52" s="60"/>
      <c r="O52" s="60"/>
      <c r="P52" s="60">
        <v>200000</v>
      </c>
      <c r="Q52" s="60"/>
      <c r="R52" s="60"/>
      <c r="S52" s="60"/>
      <c r="T52" s="60"/>
      <c r="U52" s="60">
        <v>200000</v>
      </c>
      <c r="V52" s="61"/>
      <c r="W52" s="61"/>
      <c r="X52" s="60"/>
      <c r="Y52" s="60"/>
      <c r="Z52" s="60">
        <v>200000</v>
      </c>
    </row>
    <row r="53" spans="1:26" s="18" customFormat="1" hidden="1" outlineLevel="1" x14ac:dyDescent="0.3">
      <c r="A53" s="18" t="s">
        <v>76</v>
      </c>
      <c r="C53" s="60"/>
      <c r="D53" s="60"/>
      <c r="E53" s="60"/>
      <c r="F53" s="60"/>
      <c r="G53" s="60"/>
      <c r="H53" s="60"/>
      <c r="I53" s="60">
        <v>100000</v>
      </c>
      <c r="J53" s="60">
        <v>12</v>
      </c>
      <c r="K53" s="60">
        <f t="shared" ref="K53:K56" si="27">J53*I53</f>
        <v>1200000</v>
      </c>
      <c r="L53" s="60"/>
      <c r="M53" s="60"/>
      <c r="N53" s="60">
        <v>80000</v>
      </c>
      <c r="O53" s="60">
        <v>12</v>
      </c>
      <c r="P53" s="60">
        <f t="shared" ref="P53:P56" si="28">O53*N53</f>
        <v>960000</v>
      </c>
      <c r="Q53" s="60"/>
      <c r="R53" s="60"/>
      <c r="S53" s="60">
        <v>80000</v>
      </c>
      <c r="T53" s="60">
        <v>12</v>
      </c>
      <c r="U53" s="60">
        <f t="shared" ref="U53:U56" si="29">T53*S53</f>
        <v>960000</v>
      </c>
      <c r="V53" s="61"/>
      <c r="W53" s="61"/>
      <c r="X53" s="60">
        <v>70000</v>
      </c>
      <c r="Y53" s="60">
        <v>12</v>
      </c>
      <c r="Z53" s="60">
        <f t="shared" ref="Z53:Z56" si="30">Y53*X53</f>
        <v>840000</v>
      </c>
    </row>
    <row r="54" spans="1:26" s="18" customFormat="1" hidden="1" outlineLevel="1" x14ac:dyDescent="0.3">
      <c r="A54" s="18" t="s">
        <v>65</v>
      </c>
      <c r="C54" s="60"/>
      <c r="D54" s="60"/>
      <c r="E54" s="60"/>
      <c r="F54" s="60"/>
      <c r="G54" s="60"/>
      <c r="H54" s="60"/>
      <c r="I54" s="60">
        <v>100000</v>
      </c>
      <c r="J54" s="60">
        <v>12</v>
      </c>
      <c r="K54" s="60">
        <f t="shared" si="27"/>
        <v>1200000</v>
      </c>
      <c r="L54" s="60"/>
      <c r="M54" s="60"/>
      <c r="N54" s="60">
        <v>90000</v>
      </c>
      <c r="O54" s="60">
        <v>12</v>
      </c>
      <c r="P54" s="60">
        <f t="shared" si="28"/>
        <v>1080000</v>
      </c>
      <c r="Q54" s="60"/>
      <c r="R54" s="60"/>
      <c r="S54" s="60">
        <v>90000</v>
      </c>
      <c r="T54" s="60">
        <v>12</v>
      </c>
      <c r="U54" s="60">
        <f t="shared" si="29"/>
        <v>1080000</v>
      </c>
      <c r="V54" s="61"/>
      <c r="W54" s="61"/>
      <c r="X54" s="60">
        <v>60000</v>
      </c>
      <c r="Y54" s="60">
        <v>12</v>
      </c>
      <c r="Z54" s="60">
        <f t="shared" si="30"/>
        <v>720000</v>
      </c>
    </row>
    <row r="55" spans="1:26" s="18" customFormat="1" hidden="1" outlineLevel="1" x14ac:dyDescent="0.3">
      <c r="A55" s="18" t="s">
        <v>66</v>
      </c>
      <c r="C55" s="60"/>
      <c r="D55" s="60"/>
      <c r="E55" s="60"/>
      <c r="F55" s="60"/>
      <c r="G55" s="60"/>
      <c r="H55" s="60"/>
      <c r="I55" s="60">
        <v>100000</v>
      </c>
      <c r="J55" s="60">
        <v>12</v>
      </c>
      <c r="K55" s="60">
        <f t="shared" si="27"/>
        <v>1200000</v>
      </c>
      <c r="L55" s="60"/>
      <c r="M55" s="60"/>
      <c r="N55" s="60">
        <v>90000</v>
      </c>
      <c r="O55" s="60">
        <v>12</v>
      </c>
      <c r="P55" s="60">
        <f t="shared" si="28"/>
        <v>1080000</v>
      </c>
      <c r="Q55" s="60"/>
      <c r="R55" s="60"/>
      <c r="S55" s="60">
        <v>90000</v>
      </c>
      <c r="T55" s="60">
        <v>12</v>
      </c>
      <c r="U55" s="60">
        <f t="shared" si="29"/>
        <v>1080000</v>
      </c>
      <c r="V55" s="61"/>
      <c r="W55" s="61"/>
      <c r="X55" s="60">
        <v>62000</v>
      </c>
      <c r="Y55" s="60">
        <v>12</v>
      </c>
      <c r="Z55" s="60">
        <f t="shared" si="30"/>
        <v>744000</v>
      </c>
    </row>
    <row r="56" spans="1:26" s="18" customFormat="1" hidden="1" outlineLevel="1" x14ac:dyDescent="0.3">
      <c r="A56" s="18" t="s">
        <v>67</v>
      </c>
      <c r="C56" s="60"/>
      <c r="D56" s="60">
        <v>100000</v>
      </c>
      <c r="E56" s="60">
        <v>12</v>
      </c>
      <c r="F56" s="61">
        <f>D56*E56</f>
        <v>1200000</v>
      </c>
      <c r="G56" s="60"/>
      <c r="H56" s="60"/>
      <c r="I56" s="60">
        <v>100000</v>
      </c>
      <c r="J56" s="60">
        <v>12</v>
      </c>
      <c r="K56" s="60">
        <f t="shared" si="27"/>
        <v>1200000</v>
      </c>
      <c r="L56" s="60"/>
      <c r="M56" s="60"/>
      <c r="N56" s="60">
        <v>100000</v>
      </c>
      <c r="O56" s="60">
        <v>12</v>
      </c>
      <c r="P56" s="60">
        <f t="shared" si="28"/>
        <v>1200000</v>
      </c>
      <c r="Q56" s="60"/>
      <c r="R56" s="60"/>
      <c r="S56" s="60">
        <v>100000</v>
      </c>
      <c r="T56" s="60">
        <v>12</v>
      </c>
      <c r="U56" s="60">
        <f t="shared" si="29"/>
        <v>1200000</v>
      </c>
      <c r="V56" s="61"/>
      <c r="W56" s="61"/>
      <c r="X56" s="60">
        <v>100000</v>
      </c>
      <c r="Y56" s="60">
        <v>12</v>
      </c>
      <c r="Z56" s="60">
        <f t="shared" si="30"/>
        <v>1200000</v>
      </c>
    </row>
    <row r="57" spans="1:26" s="18" customFormat="1" hidden="1" outlineLevel="1" x14ac:dyDescent="0.3">
      <c r="A57" s="18" t="s">
        <v>92</v>
      </c>
      <c r="C57" s="60"/>
      <c r="D57" s="60"/>
      <c r="E57" s="60"/>
      <c r="F57" s="61">
        <v>200000</v>
      </c>
      <c r="G57" s="60"/>
      <c r="H57" s="60"/>
      <c r="I57" s="60"/>
      <c r="J57" s="60"/>
      <c r="K57" s="61">
        <v>200000</v>
      </c>
      <c r="L57" s="60"/>
      <c r="M57" s="60"/>
      <c r="N57" s="60"/>
      <c r="O57" s="60"/>
      <c r="P57" s="61">
        <v>200000</v>
      </c>
      <c r="Q57" s="60"/>
      <c r="R57" s="60"/>
      <c r="S57" s="60"/>
      <c r="T57" s="60"/>
      <c r="U57" s="61">
        <v>200000</v>
      </c>
      <c r="V57" s="61"/>
      <c r="W57" s="61"/>
      <c r="X57" s="60"/>
      <c r="Y57" s="60"/>
      <c r="Z57" s="61">
        <v>200000</v>
      </c>
    </row>
    <row r="58" spans="1:26" s="18" customFormat="1" hidden="1" outlineLevel="1" x14ac:dyDescent="0.3">
      <c r="A58" s="18" t="s">
        <v>93</v>
      </c>
      <c r="C58" s="60"/>
      <c r="D58" s="60"/>
      <c r="E58" s="60"/>
      <c r="F58" s="60">
        <v>200000</v>
      </c>
      <c r="G58" s="60"/>
      <c r="H58" s="60"/>
      <c r="I58" s="60"/>
      <c r="J58" s="60"/>
      <c r="K58" s="60">
        <v>200000</v>
      </c>
      <c r="L58" s="60"/>
      <c r="M58" s="60"/>
      <c r="N58" s="60"/>
      <c r="O58" s="60"/>
      <c r="P58" s="60">
        <v>200000</v>
      </c>
      <c r="Q58" s="60"/>
      <c r="R58" s="60"/>
      <c r="S58" s="60"/>
      <c r="T58" s="60"/>
      <c r="U58" s="60">
        <v>200000</v>
      </c>
      <c r="V58" s="61"/>
      <c r="W58" s="61"/>
      <c r="X58" s="60"/>
      <c r="Y58" s="60"/>
      <c r="Z58" s="60">
        <v>200000</v>
      </c>
    </row>
    <row r="59" spans="1:26" s="18" customFormat="1" hidden="1" outlineLevel="1" x14ac:dyDescent="0.3">
      <c r="A59" s="18" t="s">
        <v>68</v>
      </c>
      <c r="C59" s="60"/>
      <c r="D59" s="60"/>
      <c r="E59" s="60"/>
      <c r="F59" s="60"/>
      <c r="G59" s="60"/>
      <c r="H59" s="60"/>
      <c r="I59" s="60">
        <v>200000</v>
      </c>
      <c r="J59" s="60">
        <v>12</v>
      </c>
      <c r="K59" s="60">
        <f>J59*I59</f>
        <v>2400000</v>
      </c>
      <c r="L59" s="60"/>
      <c r="M59" s="60"/>
      <c r="N59" s="60">
        <v>100000</v>
      </c>
      <c r="O59" s="60">
        <v>12</v>
      </c>
      <c r="P59" s="60">
        <f>O59*N59</f>
        <v>1200000</v>
      </c>
      <c r="Q59" s="60"/>
      <c r="R59" s="60"/>
      <c r="S59" s="60">
        <v>120000</v>
      </c>
      <c r="T59" s="60">
        <v>12</v>
      </c>
      <c r="U59" s="60">
        <f>T59*S59</f>
        <v>1440000</v>
      </c>
      <c r="V59" s="61"/>
      <c r="W59" s="61"/>
      <c r="X59" s="60">
        <v>100000</v>
      </c>
      <c r="Y59" s="60">
        <v>12</v>
      </c>
      <c r="Z59" s="60">
        <f>Y59*X59</f>
        <v>1200000</v>
      </c>
    </row>
    <row r="60" spans="1:26" s="18" customFormat="1" hidden="1" outlineLevel="1" x14ac:dyDescent="0.3">
      <c r="A60" s="18" t="s">
        <v>94</v>
      </c>
      <c r="C60" s="60"/>
      <c r="D60" s="60"/>
      <c r="E60" s="60"/>
      <c r="F60" s="60">
        <v>100000</v>
      </c>
      <c r="G60" s="60"/>
      <c r="H60" s="60"/>
      <c r="I60" s="60"/>
      <c r="J60" s="60"/>
      <c r="K60" s="60">
        <v>100000</v>
      </c>
      <c r="L60" s="60"/>
      <c r="M60" s="60"/>
      <c r="N60" s="60"/>
      <c r="O60" s="60"/>
      <c r="P60" s="60">
        <v>100000</v>
      </c>
      <c r="Q60" s="60"/>
      <c r="R60" s="60"/>
      <c r="S60" s="60"/>
      <c r="T60" s="60"/>
      <c r="U60" s="60">
        <v>100000</v>
      </c>
      <c r="V60" s="61"/>
      <c r="W60" s="61"/>
      <c r="X60" s="60"/>
      <c r="Y60" s="60"/>
      <c r="Z60" s="60">
        <v>100000</v>
      </c>
    </row>
    <row r="61" spans="1:26" s="18" customFormat="1" ht="17.25" hidden="1" outlineLevel="1" thickBot="1" x14ac:dyDescent="0.35">
      <c r="C61" s="60"/>
      <c r="D61" s="60"/>
      <c r="E61" s="60"/>
      <c r="F61" s="62">
        <f>SUM(F52:F60)</f>
        <v>1900000</v>
      </c>
      <c r="G61" s="60"/>
      <c r="H61" s="60"/>
      <c r="I61" s="60"/>
      <c r="J61" s="60"/>
      <c r="K61" s="62">
        <f>SUM(K52:K60)</f>
        <v>7900000</v>
      </c>
      <c r="L61" s="60"/>
      <c r="M61" s="60"/>
      <c r="N61" s="60"/>
      <c r="O61" s="60"/>
      <c r="P61" s="62">
        <f>SUM(P52:P60)</f>
        <v>6220000</v>
      </c>
      <c r="Q61" s="60"/>
      <c r="R61" s="60"/>
      <c r="S61" s="60"/>
      <c r="T61" s="60"/>
      <c r="U61" s="62">
        <f>SUM(U52:U60)</f>
        <v>6460000</v>
      </c>
      <c r="V61" s="61"/>
      <c r="W61" s="61"/>
      <c r="X61" s="60"/>
      <c r="Y61" s="60"/>
      <c r="Z61" s="62">
        <f>SUM(Z52:Z60)</f>
        <v>5404000</v>
      </c>
    </row>
    <row r="62" spans="1:26" s="18" customFormat="1" ht="18" hidden="1" outlineLevel="1" thickTop="1" x14ac:dyDescent="0.35">
      <c r="A62" s="22" t="s">
        <v>73</v>
      </c>
      <c r="B62" s="22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1"/>
      <c r="W62" s="61"/>
      <c r="X62" s="60"/>
      <c r="Y62" s="60"/>
      <c r="Z62" s="60"/>
    </row>
    <row r="63" spans="1:26" s="18" customFormat="1" hidden="1" outlineLevel="1" x14ac:dyDescent="0.3">
      <c r="A63" s="18" t="s">
        <v>71</v>
      </c>
      <c r="C63" s="60"/>
      <c r="D63" s="60"/>
      <c r="E63" s="60"/>
      <c r="F63" s="60">
        <f>'Source Data'!F284</f>
        <v>53040000.000000007</v>
      </c>
      <c r="G63" s="60"/>
      <c r="H63" s="60"/>
      <c r="I63" s="60"/>
      <c r="J63" s="60"/>
      <c r="K63" s="60">
        <f>'Source Data'!F285</f>
        <v>50671414.112210929</v>
      </c>
      <c r="L63" s="60"/>
      <c r="M63" s="60"/>
      <c r="N63" s="60"/>
      <c r="O63" s="60"/>
      <c r="P63" s="60">
        <f>'Source Data'!F286</f>
        <v>47900168.62349771</v>
      </c>
      <c r="Q63" s="60"/>
      <c r="R63" s="60"/>
      <c r="S63" s="60"/>
      <c r="T63" s="60"/>
      <c r="U63" s="60">
        <f>'Source Data'!F287</f>
        <v>44657811.401703253</v>
      </c>
      <c r="V63" s="61"/>
      <c r="W63" s="61"/>
      <c r="X63" s="60"/>
      <c r="Y63" s="60"/>
      <c r="Z63" s="60">
        <f>'Source Data'!F288</f>
        <v>40864253.452203736</v>
      </c>
    </row>
    <row r="64" spans="1:26" s="18" customFormat="1" hidden="1" outlineLevel="1" x14ac:dyDescent="0.3">
      <c r="A64" s="18" t="s">
        <v>72</v>
      </c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1"/>
      <c r="W64" s="61"/>
      <c r="X64" s="60"/>
      <c r="Y64" s="60"/>
      <c r="Z64" s="60"/>
    </row>
    <row r="65" spans="1:26" s="18" customFormat="1" ht="17.25" hidden="1" outlineLevel="1" thickBot="1" x14ac:dyDescent="0.35">
      <c r="C65" s="60"/>
      <c r="D65" s="60"/>
      <c r="E65" s="60"/>
      <c r="F65" s="62">
        <f>SUM(F63:F64)</f>
        <v>53040000.000000007</v>
      </c>
      <c r="G65" s="60"/>
      <c r="H65" s="60"/>
      <c r="I65" s="60"/>
      <c r="J65" s="60"/>
      <c r="K65" s="62">
        <f>SUM(K63:K64)</f>
        <v>50671414.112210929</v>
      </c>
      <c r="L65" s="60"/>
      <c r="M65" s="60"/>
      <c r="N65" s="60"/>
      <c r="O65" s="60"/>
      <c r="P65" s="62">
        <f>SUM(P63:P64)</f>
        <v>47900168.62349771</v>
      </c>
      <c r="Q65" s="60"/>
      <c r="R65" s="60"/>
      <c r="S65" s="60"/>
      <c r="T65" s="60"/>
      <c r="U65" s="62">
        <f>SUM(U63:U64)</f>
        <v>44657811.401703253</v>
      </c>
      <c r="V65" s="61"/>
      <c r="W65" s="61"/>
      <c r="X65" s="60"/>
      <c r="Y65" s="60"/>
      <c r="Z65" s="62">
        <f>SUM(Z63:Z64)</f>
        <v>40864253.452203736</v>
      </c>
    </row>
    <row r="66" spans="1:26" s="18" customFormat="1" ht="17.25" hidden="1" outlineLevel="1" thickTop="1" x14ac:dyDescent="0.3"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1"/>
      <c r="W66" s="61"/>
      <c r="X66" s="60"/>
      <c r="Y66" s="60"/>
      <c r="Z66" s="60"/>
    </row>
    <row r="67" spans="1:26" s="18" customFormat="1" hidden="1" outlineLevel="1" x14ac:dyDescent="0.3">
      <c r="A67" s="18" t="s">
        <v>69</v>
      </c>
      <c r="C67" s="60"/>
      <c r="D67" s="60">
        <v>70000</v>
      </c>
      <c r="E67" s="60">
        <v>5</v>
      </c>
      <c r="F67" s="60">
        <f>D67*E67</f>
        <v>350000</v>
      </c>
      <c r="G67" s="60"/>
      <c r="H67" s="60"/>
      <c r="I67" s="60">
        <v>70000</v>
      </c>
      <c r="J67" s="60">
        <v>10</v>
      </c>
      <c r="K67" s="60">
        <f>I67*J67</f>
        <v>700000</v>
      </c>
      <c r="L67" s="60"/>
      <c r="M67" s="60"/>
      <c r="N67" s="60">
        <v>70000</v>
      </c>
      <c r="O67" s="60">
        <v>15</v>
      </c>
      <c r="P67" s="60">
        <f>N67*O67</f>
        <v>1050000</v>
      </c>
      <c r="Q67" s="60"/>
      <c r="R67" s="60"/>
      <c r="S67" s="60">
        <v>70000</v>
      </c>
      <c r="T67" s="60">
        <v>20</v>
      </c>
      <c r="U67" s="60">
        <f>S67*T67</f>
        <v>1400000</v>
      </c>
      <c r="V67" s="61"/>
      <c r="W67" s="61"/>
      <c r="X67" s="60">
        <v>70000</v>
      </c>
      <c r="Y67" s="60">
        <v>25</v>
      </c>
      <c r="Z67" s="60">
        <f>X67*Y67</f>
        <v>1750000</v>
      </c>
    </row>
    <row r="68" spans="1:26" s="20" customFormat="1" hidden="1" outlineLevel="1" x14ac:dyDescent="0.3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6"/>
      <c r="W68" s="66"/>
      <c r="X68" s="65"/>
      <c r="Y68" s="65"/>
      <c r="Z68" s="65"/>
    </row>
    <row r="69" spans="1:26" ht="17.25" hidden="1" outlineLevel="1" x14ac:dyDescent="0.35">
      <c r="A69" s="4" t="s">
        <v>85</v>
      </c>
      <c r="B69" s="4"/>
      <c r="C69" s="206" t="s">
        <v>88</v>
      </c>
      <c r="D69" s="206"/>
      <c r="E69" s="206"/>
      <c r="F69" s="206"/>
      <c r="G69" s="206"/>
      <c r="H69" s="206"/>
      <c r="I69" s="171">
        <v>7.4999999999999997E-2</v>
      </c>
      <c r="J69" s="68">
        <f>I69+1</f>
        <v>1.075</v>
      </c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</row>
    <row r="70" spans="1:26" s="18" customFormat="1" hidden="1" outlineLevel="1" x14ac:dyDescent="0.3">
      <c r="A70" s="18" t="s">
        <v>7</v>
      </c>
      <c r="C70" s="60">
        <v>5831250</v>
      </c>
      <c r="D70" s="60">
        <v>17746500</v>
      </c>
      <c r="E70" s="60">
        <v>40254000</v>
      </c>
      <c r="F70" s="60">
        <v>63831750</v>
      </c>
      <c r="G70" s="63"/>
      <c r="H70" s="60">
        <f>((C70/(3*5)*J69)*(15*3))</f>
        <v>18805781.25</v>
      </c>
      <c r="I70" s="60">
        <f>((D70/(3*5)*J69)*(15*3))</f>
        <v>57232462.5</v>
      </c>
      <c r="J70" s="60">
        <f>((E70/(3*5)*J69)*(15*3))</f>
        <v>129819150</v>
      </c>
      <c r="K70" s="63">
        <f>SUM(H70:J70)</f>
        <v>205857393.75</v>
      </c>
      <c r="L70" s="63"/>
      <c r="M70" s="60">
        <f>((H70/(3*15)*J69)*(25*3))</f>
        <v>33693691.40625</v>
      </c>
      <c r="N70" s="60">
        <f>((I70/(3*15)*J69)*(25*3))</f>
        <v>102541495.3125</v>
      </c>
      <c r="O70" s="60">
        <f>((J70/(3*15)*J69)*(25*3))</f>
        <v>232592643.75</v>
      </c>
      <c r="P70" s="63">
        <f>SUM(M70:O70)</f>
        <v>368827830.46875</v>
      </c>
      <c r="Q70" s="63"/>
      <c r="R70" s="60">
        <f>((M70/(3*25)*J69)*(35*3))</f>
        <v>50709005.56640625</v>
      </c>
      <c r="S70" s="60">
        <f>((N70/(3*25)*J69)*(35*3))</f>
        <v>154324950.4453125</v>
      </c>
      <c r="T70" s="60">
        <f>((O70/(3*25)*J69)*(35*3))</f>
        <v>350051928.84375</v>
      </c>
      <c r="U70" s="61">
        <f>SUM(R70:T70)</f>
        <v>555085884.85546875</v>
      </c>
      <c r="V70" s="61"/>
      <c r="W70" s="60">
        <f>((R70/(3*35)*J69)*(45*3))</f>
        <v>70087089.836425781</v>
      </c>
      <c r="X70" s="60">
        <f>((S70/(3*35)*J69)*(45*3))</f>
        <v>213299127.93691406</v>
      </c>
      <c r="Y70" s="60">
        <f>((T70/(3*35)*J69)*(45*3))</f>
        <v>483821773.08046871</v>
      </c>
      <c r="Z70" s="61">
        <f>SUM(W70:Y70)</f>
        <v>767207990.85380864</v>
      </c>
    </row>
    <row r="71" spans="1:26" s="18" customFormat="1" hidden="1" outlineLevel="1" x14ac:dyDescent="0.3">
      <c r="A71" s="18" t="s">
        <v>8</v>
      </c>
      <c r="C71" s="60">
        <v>1000000</v>
      </c>
      <c r="D71" s="60">
        <v>1500000</v>
      </c>
      <c r="E71" s="60">
        <v>1750000</v>
      </c>
      <c r="F71" s="60">
        <v>4250000</v>
      </c>
      <c r="G71" s="60"/>
      <c r="H71" s="60">
        <f>((C71/20)*(15*4))</f>
        <v>3000000</v>
      </c>
      <c r="I71" s="60">
        <f>((D71/30)*(15*6))</f>
        <v>4500000</v>
      </c>
      <c r="J71" s="60">
        <f>((E71/35)*(15*7))</f>
        <v>5250000</v>
      </c>
      <c r="K71" s="63">
        <f t="shared" ref="K71:K76" si="31">SUM(H71:J71)</f>
        <v>12750000</v>
      </c>
      <c r="L71" s="60"/>
      <c r="M71" s="60">
        <f>((H71/(15*4))*(25*4))</f>
        <v>5000000</v>
      </c>
      <c r="N71" s="60">
        <f>((I71/(15*6))*(25*6))</f>
        <v>7500000</v>
      </c>
      <c r="O71" s="60">
        <f>((J71/(15*7))*(25*7))</f>
        <v>8750000</v>
      </c>
      <c r="P71" s="63">
        <f t="shared" ref="P71:P76" si="32">SUM(M71:O71)</f>
        <v>21250000</v>
      </c>
      <c r="Q71" s="60"/>
      <c r="R71" s="60">
        <f>((M71/(25*4))*(35*4))</f>
        <v>7000000</v>
      </c>
      <c r="S71" s="60">
        <f>((N71/(25*6))*(35*6))</f>
        <v>10500000</v>
      </c>
      <c r="T71" s="60">
        <f>((O71/(25*7))*(35*7))</f>
        <v>12250000</v>
      </c>
      <c r="U71" s="61">
        <f>SUM(R71:T71)</f>
        <v>29750000</v>
      </c>
      <c r="V71" s="61"/>
      <c r="W71" s="60">
        <f>((R71/(35*4))*(45*4))</f>
        <v>9000000</v>
      </c>
      <c r="X71" s="60">
        <f>((S71/(35*6))*(45*6))</f>
        <v>13500000</v>
      </c>
      <c r="Y71" s="60">
        <f>((T71/(35*7))*(45*7))</f>
        <v>15750000</v>
      </c>
      <c r="Z71" s="61">
        <f>SUM(W71:Y71)</f>
        <v>38250000</v>
      </c>
    </row>
    <row r="72" spans="1:26" s="18" customFormat="1" hidden="1" outlineLevel="1" x14ac:dyDescent="0.3">
      <c r="A72" s="18" t="s">
        <v>10</v>
      </c>
      <c r="C72" s="60">
        <v>1400000</v>
      </c>
      <c r="D72" s="60">
        <v>2100000</v>
      </c>
      <c r="E72" s="60">
        <v>2450000</v>
      </c>
      <c r="F72" s="60">
        <v>5950000</v>
      </c>
      <c r="G72" s="60"/>
      <c r="H72" s="60">
        <f>((C72/20)*(15*4))</f>
        <v>4200000</v>
      </c>
      <c r="I72" s="60">
        <f>((D72/30)*(15*6))</f>
        <v>6300000</v>
      </c>
      <c r="J72" s="60">
        <f t="shared" ref="J72:J73" si="33">((E72/35)*(15*7))</f>
        <v>7350000</v>
      </c>
      <c r="K72" s="63">
        <f t="shared" si="31"/>
        <v>17850000</v>
      </c>
      <c r="L72" s="60"/>
      <c r="M72" s="60">
        <f t="shared" ref="M72:M73" si="34">((H72/(15*4))*(25*4))</f>
        <v>7000000</v>
      </c>
      <c r="N72" s="60">
        <f t="shared" ref="N72:N73" si="35">((I72/(15*6))*(25*6))</f>
        <v>10500000</v>
      </c>
      <c r="O72" s="60">
        <f t="shared" ref="O72:O73" si="36">((J72/(15*7))*(25*7))</f>
        <v>12250000</v>
      </c>
      <c r="P72" s="63">
        <f t="shared" si="32"/>
        <v>29750000</v>
      </c>
      <c r="Q72" s="60"/>
      <c r="R72" s="60">
        <f t="shared" ref="R72:R76" si="37">((M72/(25*4))*(35*4))</f>
        <v>9800000</v>
      </c>
      <c r="S72" s="60">
        <f t="shared" ref="S72:S73" si="38">((N72/(25*6))*(35*6))</f>
        <v>14700000</v>
      </c>
      <c r="T72" s="60">
        <f t="shared" ref="T72:T73" si="39">((O72/(25*7))*(35*7))</f>
        <v>17150000</v>
      </c>
      <c r="U72" s="61">
        <f t="shared" ref="U72:U76" si="40">SUM(R72:T72)</f>
        <v>41650000</v>
      </c>
      <c r="V72" s="61"/>
      <c r="W72" s="60">
        <f t="shared" ref="W72:W73" si="41">((R72/(35*4))*(45*4))</f>
        <v>12600000</v>
      </c>
      <c r="X72" s="60">
        <f t="shared" ref="X72:X73" si="42">((S72/(35*6))*(45*6))</f>
        <v>18900000</v>
      </c>
      <c r="Y72" s="60">
        <f t="shared" ref="Y72:Y73" si="43">((T72/(35*7))*(45*7))</f>
        <v>22050000</v>
      </c>
      <c r="Z72" s="61">
        <f t="shared" ref="Z72:Z76" si="44">SUM(W72:Y72)</f>
        <v>53550000</v>
      </c>
    </row>
    <row r="73" spans="1:26" s="18" customFormat="1" hidden="1" outlineLevel="1" x14ac:dyDescent="0.3">
      <c r="A73" s="18" t="s">
        <v>9</v>
      </c>
      <c r="C73" s="60">
        <v>3000000</v>
      </c>
      <c r="D73" s="60">
        <v>4500000</v>
      </c>
      <c r="E73" s="60">
        <v>5250000</v>
      </c>
      <c r="F73" s="60">
        <v>12750000</v>
      </c>
      <c r="G73" s="60"/>
      <c r="H73" s="60">
        <f>((C73/20)*(15*4))</f>
        <v>9000000</v>
      </c>
      <c r="I73" s="60">
        <f>((D73/30)*(15*6))</f>
        <v>13500000</v>
      </c>
      <c r="J73" s="60">
        <f t="shared" si="33"/>
        <v>15750000</v>
      </c>
      <c r="K73" s="63">
        <f t="shared" si="31"/>
        <v>38250000</v>
      </c>
      <c r="L73" s="60"/>
      <c r="M73" s="60">
        <f t="shared" si="34"/>
        <v>15000000</v>
      </c>
      <c r="N73" s="60">
        <f t="shared" si="35"/>
        <v>22500000</v>
      </c>
      <c r="O73" s="60">
        <f t="shared" si="36"/>
        <v>26250000</v>
      </c>
      <c r="P73" s="63">
        <f t="shared" si="32"/>
        <v>63750000</v>
      </c>
      <c r="Q73" s="60"/>
      <c r="R73" s="60">
        <f t="shared" si="37"/>
        <v>21000000</v>
      </c>
      <c r="S73" s="60">
        <f t="shared" si="38"/>
        <v>31500000</v>
      </c>
      <c r="T73" s="60">
        <f t="shared" si="39"/>
        <v>36750000</v>
      </c>
      <c r="U73" s="61">
        <f t="shared" si="40"/>
        <v>89250000</v>
      </c>
      <c r="V73" s="61"/>
      <c r="W73" s="60">
        <f t="shared" si="41"/>
        <v>27000000</v>
      </c>
      <c r="X73" s="60">
        <f t="shared" si="42"/>
        <v>40500000</v>
      </c>
      <c r="Y73" s="60">
        <f t="shared" si="43"/>
        <v>47250000</v>
      </c>
      <c r="Z73" s="61">
        <f t="shared" si="44"/>
        <v>114750000</v>
      </c>
    </row>
    <row r="74" spans="1:26" s="18" customFormat="1" hidden="1" outlineLevel="1" x14ac:dyDescent="0.3">
      <c r="A74" s="18" t="s">
        <v>11</v>
      </c>
      <c r="C74" s="60">
        <v>2520000</v>
      </c>
      <c r="D74" s="60">
        <v>4185000</v>
      </c>
      <c r="E74" s="60">
        <v>5355000</v>
      </c>
      <c r="F74" s="60">
        <v>12060000</v>
      </c>
      <c r="G74" s="60"/>
      <c r="H74" s="60">
        <f>((C74/(20*3))*(15*4*3))</f>
        <v>7560000</v>
      </c>
      <c r="I74" s="60">
        <f>((D74/(30*3))*(15*6*3))</f>
        <v>12555000</v>
      </c>
      <c r="J74" s="60">
        <f>((E74/(35*3))*(15*7*3))</f>
        <v>16065000</v>
      </c>
      <c r="K74" s="63">
        <f t="shared" si="31"/>
        <v>36180000</v>
      </c>
      <c r="L74" s="60"/>
      <c r="M74" s="60">
        <f>((H74/(15*4*3))*(25*4*3))</f>
        <v>12600000</v>
      </c>
      <c r="N74" s="60">
        <f>((I74/(15*6*3))*(25*6*3))</f>
        <v>20925000</v>
      </c>
      <c r="O74" s="60">
        <f>((J74/(15*7*3))*(25*7*3))</f>
        <v>26775000</v>
      </c>
      <c r="P74" s="63">
        <f t="shared" si="32"/>
        <v>60300000</v>
      </c>
      <c r="Q74" s="60"/>
      <c r="R74" s="60">
        <f t="shared" si="37"/>
        <v>17640000</v>
      </c>
      <c r="S74" s="60">
        <f>((N74/(25*6))*(35*6))</f>
        <v>29295000</v>
      </c>
      <c r="T74" s="60">
        <f>((O74/(25*7))*(35*7))</f>
        <v>37485000</v>
      </c>
      <c r="U74" s="61">
        <f t="shared" si="40"/>
        <v>84420000</v>
      </c>
      <c r="V74" s="61"/>
      <c r="W74" s="60">
        <f>((R74/(35*4))*(45*4))</f>
        <v>22680000</v>
      </c>
      <c r="X74" s="60">
        <f>((S74/(35*6))*(45*6))</f>
        <v>37665000</v>
      </c>
      <c r="Y74" s="60">
        <f>((T74/(35*7))*(45*7))</f>
        <v>48195000</v>
      </c>
      <c r="Z74" s="61">
        <f t="shared" si="44"/>
        <v>108540000</v>
      </c>
    </row>
    <row r="75" spans="1:26" s="18" customFormat="1" hidden="1" outlineLevel="1" x14ac:dyDescent="0.3">
      <c r="A75" s="18" t="s">
        <v>12</v>
      </c>
      <c r="C75" s="60">
        <v>1938000</v>
      </c>
      <c r="D75" s="60">
        <v>3343500</v>
      </c>
      <c r="E75" s="60">
        <v>4226250</v>
      </c>
      <c r="F75" s="60">
        <v>9507750</v>
      </c>
      <c r="G75" s="60"/>
      <c r="H75" s="60">
        <f t="shared" ref="H75:H76" si="45">((C75/(20*3))*(15*4*3))</f>
        <v>5814000</v>
      </c>
      <c r="I75" s="60">
        <f>((D75/(30*3))*(15*6*3))</f>
        <v>10030500</v>
      </c>
      <c r="J75" s="60">
        <f t="shared" ref="J75:J76" si="46">((E75/(35*3))*(15*7*3))</f>
        <v>12678750</v>
      </c>
      <c r="K75" s="63">
        <f t="shared" si="31"/>
        <v>28523250</v>
      </c>
      <c r="L75" s="60"/>
      <c r="M75" s="60">
        <f t="shared" ref="M75:M76" si="47">((H75/(15*4*3))*(25*4*3))</f>
        <v>9690000</v>
      </c>
      <c r="N75" s="60">
        <f t="shared" ref="N75:N76" si="48">((I75/(15*6*3))*(25*6*3))</f>
        <v>16717500</v>
      </c>
      <c r="O75" s="60">
        <f t="shared" ref="O75:O76" si="49">((J75/(15*7*3))*(25*7*3))</f>
        <v>21131250</v>
      </c>
      <c r="P75" s="63">
        <f t="shared" si="32"/>
        <v>47538750</v>
      </c>
      <c r="Q75" s="60"/>
      <c r="R75" s="60">
        <f t="shared" si="37"/>
        <v>13566000</v>
      </c>
      <c r="S75" s="60">
        <f t="shared" ref="S75:S76" si="50">((N75/(25*6))*(35*6))</f>
        <v>23404500</v>
      </c>
      <c r="T75" s="60">
        <f t="shared" ref="T75:T76" si="51">((O75/(25*7))*(35*7))</f>
        <v>29583750</v>
      </c>
      <c r="U75" s="61">
        <f t="shared" si="40"/>
        <v>66554250</v>
      </c>
      <c r="V75" s="61"/>
      <c r="W75" s="60">
        <f t="shared" ref="W75:W76" si="52">((R75/(35*4))*(45*4))</f>
        <v>17442000</v>
      </c>
      <c r="X75" s="60">
        <f t="shared" ref="X75:X76" si="53">((S75/(35*6))*(45*6))</f>
        <v>30091500</v>
      </c>
      <c r="Y75" s="60">
        <f t="shared" ref="Y75:Y76" si="54">((T75/(35*7))*(45*7))</f>
        <v>38036250</v>
      </c>
      <c r="Z75" s="61">
        <f t="shared" si="44"/>
        <v>85569750</v>
      </c>
    </row>
    <row r="76" spans="1:26" s="18" customFormat="1" hidden="1" outlineLevel="1" x14ac:dyDescent="0.3">
      <c r="A76" s="18" t="s">
        <v>13</v>
      </c>
      <c r="C76" s="60">
        <v>810000</v>
      </c>
      <c r="D76" s="60">
        <v>2052000</v>
      </c>
      <c r="E76" s="60">
        <v>3053250</v>
      </c>
      <c r="F76" s="60">
        <v>5915250</v>
      </c>
      <c r="G76" s="60"/>
      <c r="H76" s="60">
        <f t="shared" si="45"/>
        <v>2430000</v>
      </c>
      <c r="I76" s="60">
        <f t="shared" ref="I76" si="55">((D76/(30*3))*(15*6*3))</f>
        <v>6156000</v>
      </c>
      <c r="J76" s="60">
        <f t="shared" si="46"/>
        <v>9159750</v>
      </c>
      <c r="K76" s="63">
        <f t="shared" si="31"/>
        <v>17745750</v>
      </c>
      <c r="L76" s="60"/>
      <c r="M76" s="60">
        <f t="shared" si="47"/>
        <v>4050000</v>
      </c>
      <c r="N76" s="60">
        <f t="shared" si="48"/>
        <v>10260000</v>
      </c>
      <c r="O76" s="60">
        <f t="shared" si="49"/>
        <v>15266250</v>
      </c>
      <c r="P76" s="63">
        <f t="shared" si="32"/>
        <v>29576250</v>
      </c>
      <c r="Q76" s="60"/>
      <c r="R76" s="60">
        <f t="shared" si="37"/>
        <v>5670000</v>
      </c>
      <c r="S76" s="60">
        <f t="shared" si="50"/>
        <v>14364000</v>
      </c>
      <c r="T76" s="60">
        <f t="shared" si="51"/>
        <v>21372750</v>
      </c>
      <c r="U76" s="61">
        <f t="shared" si="40"/>
        <v>41406750</v>
      </c>
      <c r="V76" s="61"/>
      <c r="W76" s="60">
        <f t="shared" si="52"/>
        <v>7290000</v>
      </c>
      <c r="X76" s="60">
        <f t="shared" si="53"/>
        <v>18468000</v>
      </c>
      <c r="Y76" s="60">
        <f t="shared" si="54"/>
        <v>27479250</v>
      </c>
      <c r="Z76" s="61">
        <f t="shared" si="44"/>
        <v>53237250</v>
      </c>
    </row>
    <row r="77" spans="1:26" s="18" customFormat="1" hidden="1" outlineLevel="1" x14ac:dyDescent="0.3"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1"/>
      <c r="V77" s="61"/>
      <c r="W77" s="61"/>
      <c r="X77" s="61"/>
      <c r="Y77" s="61"/>
      <c r="Z77" s="61"/>
    </row>
    <row r="78" spans="1:26" s="18" customFormat="1" hidden="1" outlineLevel="1" x14ac:dyDescent="0.3"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205">
        <v>0.1</v>
      </c>
      <c r="O78" s="205"/>
      <c r="P78" s="205"/>
      <c r="Q78" s="60"/>
      <c r="R78" s="61"/>
      <c r="S78" s="205">
        <v>0.1</v>
      </c>
      <c r="T78" s="205"/>
      <c r="U78" s="205"/>
      <c r="V78" s="61"/>
      <c r="W78" s="61"/>
      <c r="X78" s="205">
        <v>0.1</v>
      </c>
      <c r="Y78" s="205"/>
      <c r="Z78" s="205"/>
    </row>
    <row r="79" spans="1:26" s="18" customFormat="1" ht="17.25" hidden="1" outlineLevel="1" x14ac:dyDescent="0.35">
      <c r="A79" s="21" t="s">
        <v>39</v>
      </c>
      <c r="B79" s="22"/>
      <c r="C79" s="60"/>
      <c r="D79" s="60" t="s">
        <v>55</v>
      </c>
      <c r="E79" s="60" t="s">
        <v>56</v>
      </c>
      <c r="F79" s="60" t="s">
        <v>57</v>
      </c>
      <c r="G79" s="60"/>
      <c r="H79" s="60"/>
      <c r="I79" s="60" t="s">
        <v>55</v>
      </c>
      <c r="J79" s="60" t="s">
        <v>56</v>
      </c>
      <c r="K79" s="60" t="s">
        <v>57</v>
      </c>
      <c r="L79" s="60"/>
      <c r="M79" s="60"/>
      <c r="N79" s="60" t="s">
        <v>55</v>
      </c>
      <c r="O79" s="60" t="s">
        <v>56</v>
      </c>
      <c r="P79" s="60" t="s">
        <v>57</v>
      </c>
      <c r="Q79" s="60"/>
      <c r="R79" s="61"/>
      <c r="S79" s="60" t="s">
        <v>55</v>
      </c>
      <c r="T79" s="60" t="s">
        <v>56</v>
      </c>
      <c r="U79" s="60" t="s">
        <v>57</v>
      </c>
      <c r="V79" s="61"/>
      <c r="W79" s="61"/>
      <c r="X79" s="60" t="s">
        <v>55</v>
      </c>
      <c r="Y79" s="60" t="s">
        <v>56</v>
      </c>
      <c r="Z79" s="60" t="s">
        <v>57</v>
      </c>
    </row>
    <row r="80" spans="1:26" s="18" customFormat="1" hidden="1" outlineLevel="1" x14ac:dyDescent="0.3">
      <c r="A80" s="23" t="s">
        <v>40</v>
      </c>
      <c r="B80" s="23"/>
      <c r="C80" s="60"/>
      <c r="D80" s="60">
        <v>150000</v>
      </c>
      <c r="E80" s="60">
        <v>14</v>
      </c>
      <c r="F80" s="60">
        <f>D80*E80*12</f>
        <v>25200000</v>
      </c>
      <c r="G80" s="60"/>
      <c r="H80" s="60"/>
      <c r="I80" s="60">
        <v>150000</v>
      </c>
      <c r="J80" s="60">
        <v>25</v>
      </c>
      <c r="K80" s="60">
        <f>I80*J80*12</f>
        <v>45000000</v>
      </c>
      <c r="L80" s="60"/>
      <c r="M80" s="60"/>
      <c r="N80" s="60">
        <f t="shared" ref="N80:N88" si="56">$I80*(1+$N$202)</f>
        <v>165000</v>
      </c>
      <c r="O80" s="60">
        <v>34</v>
      </c>
      <c r="P80" s="60">
        <f>N80*O80*12</f>
        <v>67320000</v>
      </c>
      <c r="Q80" s="60"/>
      <c r="R80" s="61"/>
      <c r="S80" s="60">
        <v>165000</v>
      </c>
      <c r="T80" s="60">
        <v>43</v>
      </c>
      <c r="U80" s="60">
        <f>S80*T80*12</f>
        <v>85140000</v>
      </c>
      <c r="V80" s="61"/>
      <c r="W80" s="61"/>
      <c r="X80" s="60">
        <f t="shared" ref="X80:X88" si="57">S80*($X$202+1)</f>
        <v>181500.00000000003</v>
      </c>
      <c r="Y80" s="60">
        <v>52</v>
      </c>
      <c r="Z80" s="60">
        <f>X80*Y80*12</f>
        <v>113256000.00000003</v>
      </c>
    </row>
    <row r="81" spans="1:26" s="18" customFormat="1" hidden="1" outlineLevel="1" x14ac:dyDescent="0.3">
      <c r="A81" s="23" t="s">
        <v>41</v>
      </c>
      <c r="B81" s="23"/>
      <c r="C81" s="60"/>
      <c r="D81" s="60">
        <v>350000</v>
      </c>
      <c r="E81" s="60">
        <v>4</v>
      </c>
      <c r="F81" s="60">
        <f t="shared" ref="F81:F88" si="58">D81*E81*12</f>
        <v>16800000</v>
      </c>
      <c r="G81" s="60"/>
      <c r="H81" s="60"/>
      <c r="I81" s="60">
        <v>350000</v>
      </c>
      <c r="J81" s="60">
        <v>10</v>
      </c>
      <c r="K81" s="60">
        <f t="shared" ref="K81:K88" si="59">I81*J81*12</f>
        <v>42000000</v>
      </c>
      <c r="L81" s="60"/>
      <c r="M81" s="60"/>
      <c r="N81" s="60">
        <f t="shared" si="56"/>
        <v>385000.00000000006</v>
      </c>
      <c r="O81" s="60">
        <v>16</v>
      </c>
      <c r="P81" s="60">
        <f t="shared" ref="P81:P88" si="60">N81*O81*12</f>
        <v>73920000.000000015</v>
      </c>
      <c r="Q81" s="60"/>
      <c r="R81" s="61"/>
      <c r="S81" s="60">
        <v>385000.00000000006</v>
      </c>
      <c r="T81" s="60">
        <v>22</v>
      </c>
      <c r="U81" s="60">
        <f t="shared" ref="U81:U88" si="61">S81*T81*12</f>
        <v>101640000.00000003</v>
      </c>
      <c r="V81" s="61"/>
      <c r="W81" s="61"/>
      <c r="X81" s="60">
        <f t="shared" si="57"/>
        <v>423500.00000000012</v>
      </c>
      <c r="Y81" s="60">
        <v>28</v>
      </c>
      <c r="Z81" s="60">
        <f t="shared" ref="Z81:Z88" si="62">X81*Y81*12</f>
        <v>142296000.00000006</v>
      </c>
    </row>
    <row r="82" spans="1:26" s="18" customFormat="1" hidden="1" outlineLevel="1" x14ac:dyDescent="0.3">
      <c r="A82" s="23" t="s">
        <v>42</v>
      </c>
      <c r="B82" s="23"/>
      <c r="C82" s="60"/>
      <c r="D82" s="60">
        <v>500000</v>
      </c>
      <c r="E82" s="60">
        <v>1</v>
      </c>
      <c r="F82" s="60">
        <f t="shared" si="58"/>
        <v>6000000</v>
      </c>
      <c r="G82" s="60"/>
      <c r="H82" s="60"/>
      <c r="I82" s="60">
        <v>500000</v>
      </c>
      <c r="J82" s="60">
        <v>1</v>
      </c>
      <c r="K82" s="60">
        <f t="shared" si="59"/>
        <v>6000000</v>
      </c>
      <c r="L82" s="60"/>
      <c r="M82" s="60"/>
      <c r="N82" s="60">
        <f t="shared" si="56"/>
        <v>550000</v>
      </c>
      <c r="O82" s="60">
        <v>1</v>
      </c>
      <c r="P82" s="60">
        <f t="shared" si="60"/>
        <v>6600000</v>
      </c>
      <c r="Q82" s="60"/>
      <c r="R82" s="61"/>
      <c r="S82" s="60">
        <v>550000</v>
      </c>
      <c r="T82" s="60">
        <v>1</v>
      </c>
      <c r="U82" s="60">
        <f t="shared" si="61"/>
        <v>6600000</v>
      </c>
      <c r="V82" s="61"/>
      <c r="W82" s="61"/>
      <c r="X82" s="60">
        <f t="shared" si="57"/>
        <v>605000</v>
      </c>
      <c r="Y82" s="60">
        <v>1</v>
      </c>
      <c r="Z82" s="60">
        <f t="shared" si="62"/>
        <v>7260000</v>
      </c>
    </row>
    <row r="83" spans="1:26" s="18" customFormat="1" hidden="1" outlineLevel="1" x14ac:dyDescent="0.3">
      <c r="A83" s="23" t="s">
        <v>43</v>
      </c>
      <c r="B83" s="23"/>
      <c r="C83" s="60"/>
      <c r="D83" s="60">
        <v>400000</v>
      </c>
      <c r="E83" s="60">
        <v>1</v>
      </c>
      <c r="F83" s="60">
        <f t="shared" si="58"/>
        <v>4800000</v>
      </c>
      <c r="G83" s="60"/>
      <c r="H83" s="60"/>
      <c r="I83" s="60">
        <v>400000</v>
      </c>
      <c r="J83" s="60">
        <v>1</v>
      </c>
      <c r="K83" s="60">
        <f t="shared" si="59"/>
        <v>4800000</v>
      </c>
      <c r="L83" s="60"/>
      <c r="M83" s="60"/>
      <c r="N83" s="60">
        <f t="shared" si="56"/>
        <v>440000.00000000006</v>
      </c>
      <c r="O83" s="60">
        <v>1</v>
      </c>
      <c r="P83" s="60">
        <f t="shared" si="60"/>
        <v>5280000.0000000009</v>
      </c>
      <c r="Q83" s="60"/>
      <c r="R83" s="61"/>
      <c r="S83" s="60">
        <v>440000.00000000006</v>
      </c>
      <c r="T83" s="60">
        <v>1</v>
      </c>
      <c r="U83" s="60">
        <f t="shared" si="61"/>
        <v>5280000.0000000009</v>
      </c>
      <c r="V83" s="61"/>
      <c r="W83" s="61"/>
      <c r="X83" s="60">
        <f t="shared" si="57"/>
        <v>484000.00000000012</v>
      </c>
      <c r="Y83" s="60">
        <v>1</v>
      </c>
      <c r="Z83" s="60">
        <f t="shared" si="62"/>
        <v>5808000.0000000019</v>
      </c>
    </row>
    <row r="84" spans="1:26" s="18" customFormat="1" hidden="1" outlineLevel="1" x14ac:dyDescent="0.3">
      <c r="A84" s="18" t="s">
        <v>44</v>
      </c>
      <c r="C84" s="60"/>
      <c r="D84" s="60">
        <v>300000</v>
      </c>
      <c r="E84" s="60">
        <v>1</v>
      </c>
      <c r="F84" s="60">
        <f t="shared" si="58"/>
        <v>3600000</v>
      </c>
      <c r="G84" s="60"/>
      <c r="H84" s="60"/>
      <c r="I84" s="60">
        <v>300000</v>
      </c>
      <c r="J84" s="60">
        <v>1</v>
      </c>
      <c r="K84" s="60">
        <f t="shared" si="59"/>
        <v>3600000</v>
      </c>
      <c r="L84" s="60"/>
      <c r="M84" s="60"/>
      <c r="N84" s="60">
        <f t="shared" si="56"/>
        <v>330000</v>
      </c>
      <c r="O84" s="60">
        <v>1</v>
      </c>
      <c r="P84" s="60">
        <f t="shared" si="60"/>
        <v>3960000</v>
      </c>
      <c r="Q84" s="60"/>
      <c r="R84" s="61"/>
      <c r="S84" s="60">
        <v>330000</v>
      </c>
      <c r="T84" s="60">
        <v>1</v>
      </c>
      <c r="U84" s="60">
        <f t="shared" si="61"/>
        <v>3960000</v>
      </c>
      <c r="V84" s="61"/>
      <c r="W84" s="61"/>
      <c r="X84" s="60">
        <f t="shared" si="57"/>
        <v>363000.00000000006</v>
      </c>
      <c r="Y84" s="60">
        <v>1</v>
      </c>
      <c r="Z84" s="60">
        <f t="shared" si="62"/>
        <v>4356000.0000000009</v>
      </c>
    </row>
    <row r="85" spans="1:26" s="18" customFormat="1" hidden="1" outlineLevel="1" x14ac:dyDescent="0.3">
      <c r="A85" s="18" t="s">
        <v>45</v>
      </c>
      <c r="C85" s="60"/>
      <c r="D85" s="60">
        <v>300000</v>
      </c>
      <c r="E85" s="60">
        <v>1</v>
      </c>
      <c r="F85" s="60">
        <f t="shared" si="58"/>
        <v>3600000</v>
      </c>
      <c r="G85" s="60"/>
      <c r="H85" s="60"/>
      <c r="I85" s="60">
        <v>300000</v>
      </c>
      <c r="J85" s="60">
        <v>1</v>
      </c>
      <c r="K85" s="60">
        <f t="shared" si="59"/>
        <v>3600000</v>
      </c>
      <c r="L85" s="60"/>
      <c r="M85" s="60"/>
      <c r="N85" s="60">
        <f t="shared" si="56"/>
        <v>330000</v>
      </c>
      <c r="O85" s="60">
        <v>1</v>
      </c>
      <c r="P85" s="60">
        <f t="shared" si="60"/>
        <v>3960000</v>
      </c>
      <c r="Q85" s="60"/>
      <c r="R85" s="61"/>
      <c r="S85" s="60">
        <v>330000</v>
      </c>
      <c r="T85" s="60">
        <v>1</v>
      </c>
      <c r="U85" s="60">
        <f t="shared" si="61"/>
        <v>3960000</v>
      </c>
      <c r="V85" s="61"/>
      <c r="W85" s="61"/>
      <c r="X85" s="60">
        <f t="shared" si="57"/>
        <v>363000.00000000006</v>
      </c>
      <c r="Y85" s="60">
        <v>1</v>
      </c>
      <c r="Z85" s="60">
        <f t="shared" si="62"/>
        <v>4356000.0000000009</v>
      </c>
    </row>
    <row r="86" spans="1:26" s="18" customFormat="1" hidden="1" outlineLevel="1" x14ac:dyDescent="0.3">
      <c r="A86" s="18" t="s">
        <v>46</v>
      </c>
      <c r="C86" s="60"/>
      <c r="D86" s="60">
        <v>300000</v>
      </c>
      <c r="E86" s="60">
        <v>1</v>
      </c>
      <c r="F86" s="60">
        <f t="shared" si="58"/>
        <v>3600000</v>
      </c>
      <c r="G86" s="60"/>
      <c r="H86" s="60"/>
      <c r="I86" s="60">
        <v>300000</v>
      </c>
      <c r="J86" s="60">
        <v>1</v>
      </c>
      <c r="K86" s="60">
        <f t="shared" si="59"/>
        <v>3600000</v>
      </c>
      <c r="L86" s="60"/>
      <c r="M86" s="60"/>
      <c r="N86" s="60">
        <f t="shared" si="56"/>
        <v>330000</v>
      </c>
      <c r="O86" s="60">
        <v>1</v>
      </c>
      <c r="P86" s="60">
        <f t="shared" si="60"/>
        <v>3960000</v>
      </c>
      <c r="Q86" s="60"/>
      <c r="R86" s="61"/>
      <c r="S86" s="60">
        <v>330000</v>
      </c>
      <c r="T86" s="60">
        <v>1</v>
      </c>
      <c r="U86" s="60">
        <f t="shared" si="61"/>
        <v>3960000</v>
      </c>
      <c r="V86" s="61"/>
      <c r="W86" s="61"/>
      <c r="X86" s="60">
        <f t="shared" si="57"/>
        <v>363000.00000000006</v>
      </c>
      <c r="Y86" s="60">
        <v>1</v>
      </c>
      <c r="Z86" s="60">
        <f t="shared" si="62"/>
        <v>4356000.0000000009</v>
      </c>
    </row>
    <row r="87" spans="1:26" s="18" customFormat="1" hidden="1" outlineLevel="1" x14ac:dyDescent="0.3">
      <c r="A87" s="23" t="s">
        <v>48</v>
      </c>
      <c r="B87" s="23"/>
      <c r="C87" s="60"/>
      <c r="D87" s="60">
        <v>30000</v>
      </c>
      <c r="E87" s="60">
        <v>10</v>
      </c>
      <c r="F87" s="60">
        <f t="shared" si="58"/>
        <v>3600000</v>
      </c>
      <c r="G87" s="60"/>
      <c r="H87" s="60"/>
      <c r="I87" s="60">
        <v>30000</v>
      </c>
      <c r="J87" s="60">
        <v>18</v>
      </c>
      <c r="K87" s="60">
        <f t="shared" si="59"/>
        <v>6480000</v>
      </c>
      <c r="L87" s="60"/>
      <c r="M87" s="60"/>
      <c r="N87" s="60">
        <f t="shared" si="56"/>
        <v>33000</v>
      </c>
      <c r="O87" s="60">
        <v>20</v>
      </c>
      <c r="P87" s="60">
        <f t="shared" si="60"/>
        <v>7920000</v>
      </c>
      <c r="Q87" s="60"/>
      <c r="R87" s="61"/>
      <c r="S87" s="60">
        <v>33000</v>
      </c>
      <c r="T87" s="60">
        <v>22</v>
      </c>
      <c r="U87" s="60">
        <f t="shared" si="61"/>
        <v>8712000</v>
      </c>
      <c r="V87" s="61"/>
      <c r="W87" s="61"/>
      <c r="X87" s="60">
        <f t="shared" si="57"/>
        <v>36300</v>
      </c>
      <c r="Y87" s="60">
        <v>24</v>
      </c>
      <c r="Z87" s="60">
        <f t="shared" si="62"/>
        <v>10454400</v>
      </c>
    </row>
    <row r="88" spans="1:26" s="18" customFormat="1" hidden="1" outlineLevel="1" x14ac:dyDescent="0.3">
      <c r="A88" s="23" t="s">
        <v>47</v>
      </c>
      <c r="B88" s="23"/>
      <c r="C88" s="60"/>
      <c r="D88" s="60">
        <v>60000</v>
      </c>
      <c r="E88" s="60">
        <v>5</v>
      </c>
      <c r="F88" s="60">
        <f t="shared" si="58"/>
        <v>3600000</v>
      </c>
      <c r="G88" s="60"/>
      <c r="H88" s="60"/>
      <c r="I88" s="60">
        <v>60000</v>
      </c>
      <c r="J88" s="60">
        <v>8</v>
      </c>
      <c r="K88" s="60">
        <f t="shared" si="59"/>
        <v>5760000</v>
      </c>
      <c r="L88" s="60"/>
      <c r="M88" s="60"/>
      <c r="N88" s="60">
        <f t="shared" si="56"/>
        <v>66000</v>
      </c>
      <c r="O88" s="60">
        <v>8</v>
      </c>
      <c r="P88" s="60">
        <f t="shared" si="60"/>
        <v>6336000</v>
      </c>
      <c r="Q88" s="60"/>
      <c r="R88" s="61"/>
      <c r="S88" s="60">
        <v>66000</v>
      </c>
      <c r="T88" s="60">
        <v>11</v>
      </c>
      <c r="U88" s="60">
        <f t="shared" si="61"/>
        <v>8712000</v>
      </c>
      <c r="V88" s="61"/>
      <c r="W88" s="61"/>
      <c r="X88" s="60">
        <f t="shared" si="57"/>
        <v>72600</v>
      </c>
      <c r="Y88" s="60">
        <v>11</v>
      </c>
      <c r="Z88" s="60">
        <f t="shared" si="62"/>
        <v>9583200</v>
      </c>
    </row>
    <row r="89" spans="1:26" s="18" customFormat="1" hidden="1" outlineLevel="1" x14ac:dyDescent="0.3">
      <c r="A89" s="18" t="s">
        <v>49</v>
      </c>
      <c r="C89" s="60"/>
      <c r="D89" s="60">
        <v>200000</v>
      </c>
      <c r="E89" s="60"/>
      <c r="F89" s="60">
        <f>D89*12</f>
        <v>2400000</v>
      </c>
      <c r="G89" s="60"/>
      <c r="H89" s="60"/>
      <c r="I89" s="60">
        <v>300000</v>
      </c>
      <c r="J89" s="60"/>
      <c r="K89" s="60">
        <f>I89*12</f>
        <v>3600000</v>
      </c>
      <c r="L89" s="60"/>
      <c r="M89" s="60"/>
      <c r="N89" s="60"/>
      <c r="O89" s="60"/>
      <c r="P89" s="60">
        <f>N89*12</f>
        <v>0</v>
      </c>
      <c r="Q89" s="60"/>
      <c r="R89" s="61"/>
      <c r="S89" s="60"/>
      <c r="T89" s="60"/>
      <c r="U89" s="60">
        <f>S89*12</f>
        <v>0</v>
      </c>
      <c r="V89" s="61"/>
      <c r="W89" s="61"/>
      <c r="X89" s="60"/>
      <c r="Y89" s="60"/>
      <c r="Z89" s="60">
        <f>X89*12</f>
        <v>0</v>
      </c>
    </row>
    <row r="90" spans="1:26" s="18" customFormat="1" hidden="1" outlineLevel="1" x14ac:dyDescent="0.3">
      <c r="A90" s="18" t="s">
        <v>50</v>
      </c>
      <c r="C90" s="60"/>
      <c r="D90" s="60">
        <v>100000</v>
      </c>
      <c r="E90" s="60"/>
      <c r="F90" s="60">
        <f>D90*12</f>
        <v>1200000</v>
      </c>
      <c r="G90" s="60"/>
      <c r="H90" s="60"/>
      <c r="I90" s="60">
        <v>100000</v>
      </c>
      <c r="J90" s="60"/>
      <c r="K90" s="60">
        <f>I90*12</f>
        <v>1200000</v>
      </c>
      <c r="L90" s="60"/>
      <c r="M90" s="60"/>
      <c r="N90" s="60">
        <v>100000</v>
      </c>
      <c r="O90" s="60"/>
      <c r="P90" s="60">
        <f>N90*12</f>
        <v>1200000</v>
      </c>
      <c r="Q90" s="60"/>
      <c r="R90" s="61"/>
      <c r="S90" s="60">
        <v>100000</v>
      </c>
      <c r="T90" s="60"/>
      <c r="U90" s="60">
        <f>S90*12</f>
        <v>1200000</v>
      </c>
      <c r="V90" s="61"/>
      <c r="W90" s="61"/>
      <c r="X90" s="60">
        <v>100000</v>
      </c>
      <c r="Y90" s="60"/>
      <c r="Z90" s="60">
        <f>X90*12</f>
        <v>1200000</v>
      </c>
    </row>
    <row r="91" spans="1:26" s="18" customFormat="1" ht="17.25" hidden="1" outlineLevel="1" thickBot="1" x14ac:dyDescent="0.35">
      <c r="C91" s="60"/>
      <c r="D91" s="60"/>
      <c r="E91" s="60"/>
      <c r="F91" s="62">
        <f>SUM(F80:F90)</f>
        <v>74400000</v>
      </c>
      <c r="G91" s="60"/>
      <c r="H91" s="60"/>
      <c r="I91" s="60"/>
      <c r="J91" s="60"/>
      <c r="K91" s="62">
        <f>SUM(K80:K90)</f>
        <v>125640000</v>
      </c>
      <c r="L91" s="60"/>
      <c r="M91" s="60"/>
      <c r="N91" s="60"/>
      <c r="O91" s="60"/>
      <c r="P91" s="62">
        <f>SUM(P80:P90)</f>
        <v>180456000</v>
      </c>
      <c r="Q91" s="60"/>
      <c r="R91" s="61"/>
      <c r="S91" s="60"/>
      <c r="T91" s="60"/>
      <c r="U91" s="62">
        <f>SUM(U80:U90)</f>
        <v>229164000.00000003</v>
      </c>
      <c r="V91" s="61"/>
      <c r="W91" s="61"/>
      <c r="X91" s="60"/>
      <c r="Y91" s="60"/>
      <c r="Z91" s="62">
        <f>SUM(Z80:Z90)</f>
        <v>302925600.00000012</v>
      </c>
    </row>
    <row r="92" spans="1:26" s="18" customFormat="1" ht="17.25" hidden="1" outlineLevel="1" thickTop="1" x14ac:dyDescent="0.3">
      <c r="A92" s="18" t="s">
        <v>51</v>
      </c>
      <c r="C92" s="60"/>
      <c r="D92" s="60">
        <f>SUM(D80:D90)*0.0145</f>
        <v>39005</v>
      </c>
      <c r="E92" s="60"/>
      <c r="F92" s="60">
        <f>D92*12</f>
        <v>468060</v>
      </c>
      <c r="G92" s="60"/>
      <c r="H92" s="60"/>
      <c r="I92" s="60">
        <f>SUM($I$204:$I$214)*0.0145</f>
        <v>40455</v>
      </c>
      <c r="J92" s="60"/>
      <c r="K92" s="60">
        <f>I92*12</f>
        <v>485460</v>
      </c>
      <c r="L92" s="60"/>
      <c r="M92" s="60"/>
      <c r="N92" s="60">
        <f>SUM(N80:N90)*0.0145</f>
        <v>39570.5</v>
      </c>
      <c r="O92" s="60"/>
      <c r="P92" s="60">
        <f>N92*12</f>
        <v>474846</v>
      </c>
      <c r="Q92" s="60"/>
      <c r="R92" s="61"/>
      <c r="S92" s="60">
        <f>SUM(S80:S90)*0.0145</f>
        <v>39570.5</v>
      </c>
      <c r="T92" s="60"/>
      <c r="U92" s="60">
        <f>S92*12</f>
        <v>474846</v>
      </c>
      <c r="V92" s="61"/>
      <c r="W92" s="61"/>
      <c r="X92" s="60">
        <f>SUM(X80:X90)*0.0145</f>
        <v>43382.55</v>
      </c>
      <c r="Y92" s="60"/>
      <c r="Z92" s="60">
        <f>X92*12</f>
        <v>520590.60000000003</v>
      </c>
    </row>
    <row r="93" spans="1:26" s="18" customFormat="1" hidden="1" outlineLevel="1" x14ac:dyDescent="0.3">
      <c r="A93" s="24" t="str">
        <f>"-House"</f>
        <v>-House</v>
      </c>
      <c r="B93" s="24"/>
      <c r="C93" s="60"/>
      <c r="D93" s="60">
        <f>SUM(D80:D90)*0.0105</f>
        <v>28245</v>
      </c>
      <c r="E93" s="60"/>
      <c r="F93" s="60">
        <f t="shared" ref="F93" si="63">D93*12</f>
        <v>338940</v>
      </c>
      <c r="G93" s="60"/>
      <c r="H93" s="60"/>
      <c r="I93" s="60">
        <f>SUM($I$204:$I$214)*0.0105</f>
        <v>29295</v>
      </c>
      <c r="J93" s="60"/>
      <c r="K93" s="60">
        <f t="shared" ref="K93" si="64">I93*12</f>
        <v>351540</v>
      </c>
      <c r="L93" s="60"/>
      <c r="M93" s="60"/>
      <c r="N93" s="60">
        <f>SUM(N80:N90)*0.0105</f>
        <v>28654.5</v>
      </c>
      <c r="O93" s="60"/>
      <c r="P93" s="60">
        <f t="shared" ref="P93" si="65">N93*12</f>
        <v>343854</v>
      </c>
      <c r="Q93" s="60"/>
      <c r="R93" s="61"/>
      <c r="S93" s="60">
        <f>SUM(S80:S90)*0.0105</f>
        <v>28654.5</v>
      </c>
      <c r="T93" s="60"/>
      <c r="U93" s="60">
        <f t="shared" ref="U93" si="66">S93*12</f>
        <v>343854</v>
      </c>
      <c r="V93" s="61"/>
      <c r="W93" s="61"/>
      <c r="X93" s="60">
        <f>SUM(X80:X90)*0.0105</f>
        <v>31414.95</v>
      </c>
      <c r="Y93" s="60"/>
      <c r="Z93" s="60">
        <f t="shared" ref="Z93" si="67">X93*12</f>
        <v>376979.4</v>
      </c>
    </row>
    <row r="94" spans="1:26" s="18" customFormat="1" hidden="1" outlineLevel="1" x14ac:dyDescent="0.3">
      <c r="A94" s="24" t="str">
        <f>"-Transport"</f>
        <v>-Transport</v>
      </c>
      <c r="B94" s="24"/>
      <c r="C94" s="60"/>
      <c r="D94" s="60">
        <f>SUM(D80:D90)*0.0175</f>
        <v>47075.000000000007</v>
      </c>
      <c r="E94" s="60"/>
      <c r="F94" s="60">
        <f>D94*12</f>
        <v>564900.00000000012</v>
      </c>
      <c r="G94" s="60"/>
      <c r="H94" s="60"/>
      <c r="I94" s="60">
        <f>SUM($I$204:$I$214)*0.0175</f>
        <v>48825.000000000007</v>
      </c>
      <c r="J94" s="60"/>
      <c r="K94" s="60">
        <f>I94*12</f>
        <v>585900.00000000012</v>
      </c>
      <c r="L94" s="60"/>
      <c r="M94" s="60"/>
      <c r="N94" s="60">
        <f>SUM(N80:N90)*0.0175</f>
        <v>47757.500000000007</v>
      </c>
      <c r="O94" s="60"/>
      <c r="P94" s="60">
        <f>N94*12</f>
        <v>573090.00000000012</v>
      </c>
      <c r="Q94" s="60"/>
      <c r="R94" s="61"/>
      <c r="S94" s="60">
        <f>SUM(S80:S90)*0.0175</f>
        <v>47757.500000000007</v>
      </c>
      <c r="T94" s="60"/>
      <c r="U94" s="60">
        <f>S94*12</f>
        <v>573090.00000000012</v>
      </c>
      <c r="V94" s="61"/>
      <c r="W94" s="61"/>
      <c r="X94" s="60">
        <f>SUM(X80:X90)*0.0175</f>
        <v>52358.250000000007</v>
      </c>
      <c r="Y94" s="60"/>
      <c r="Z94" s="60">
        <f>X94*12</f>
        <v>628299.00000000012</v>
      </c>
    </row>
    <row r="95" spans="1:26" s="18" customFormat="1" hidden="1" outlineLevel="1" x14ac:dyDescent="0.3">
      <c r="A95" s="18" t="s">
        <v>52</v>
      </c>
      <c r="C95" s="60"/>
      <c r="D95" s="60">
        <v>80000</v>
      </c>
      <c r="E95" s="60">
        <v>1</v>
      </c>
      <c r="F95" s="60">
        <f>D95*12*E95</f>
        <v>960000</v>
      </c>
      <c r="G95" s="60"/>
      <c r="H95" s="60"/>
      <c r="I95" s="60">
        <v>80000</v>
      </c>
      <c r="J95" s="60">
        <v>1</v>
      </c>
      <c r="K95" s="60">
        <f>I95*12*J95</f>
        <v>960000</v>
      </c>
      <c r="L95" s="60"/>
      <c r="M95" s="60"/>
      <c r="N95" s="60">
        <v>165000</v>
      </c>
      <c r="O95" s="60">
        <v>2</v>
      </c>
      <c r="P95" s="60">
        <f>N95*12*O95</f>
        <v>3960000</v>
      </c>
      <c r="Q95" s="60"/>
      <c r="R95" s="61"/>
      <c r="S95" s="60">
        <v>165000</v>
      </c>
      <c r="T95" s="60">
        <v>3</v>
      </c>
      <c r="U95" s="60">
        <f>S95*12*T95</f>
        <v>5940000</v>
      </c>
      <c r="V95" s="61"/>
      <c r="W95" s="61"/>
      <c r="X95" s="60">
        <v>181500</v>
      </c>
      <c r="Y95" s="60">
        <v>3</v>
      </c>
      <c r="Z95" s="60">
        <f>X95*12*Y95</f>
        <v>6534000</v>
      </c>
    </row>
    <row r="96" spans="1:26" s="18" customFormat="1" hidden="1" outlineLevel="1" x14ac:dyDescent="0.3">
      <c r="A96" s="18" t="s">
        <v>53</v>
      </c>
      <c r="C96" s="60"/>
      <c r="D96" s="60">
        <v>60000</v>
      </c>
      <c r="E96" s="60">
        <v>1</v>
      </c>
      <c r="F96" s="60">
        <f t="shared" ref="F96:F97" si="68">D96*12*E96</f>
        <v>720000</v>
      </c>
      <c r="G96" s="60"/>
      <c r="H96" s="60"/>
      <c r="I96" s="60">
        <v>60000</v>
      </c>
      <c r="J96" s="60">
        <v>1</v>
      </c>
      <c r="K96" s="60">
        <f t="shared" ref="K96:K97" si="69">I96*12*J96</f>
        <v>720000</v>
      </c>
      <c r="L96" s="60"/>
      <c r="M96" s="60"/>
      <c r="N96" s="60">
        <v>77000</v>
      </c>
      <c r="O96" s="60">
        <v>1</v>
      </c>
      <c r="P96" s="60">
        <f t="shared" ref="P96:P97" si="70">N96*12*O96</f>
        <v>924000</v>
      </c>
      <c r="Q96" s="60"/>
      <c r="R96" s="61"/>
      <c r="S96" s="60">
        <v>77000</v>
      </c>
      <c r="T96" s="60">
        <v>2</v>
      </c>
      <c r="U96" s="60">
        <f t="shared" ref="U96:U97" si="71">S96*12*T96</f>
        <v>1848000</v>
      </c>
      <c r="V96" s="61"/>
      <c r="W96" s="61"/>
      <c r="X96" s="60">
        <v>84700</v>
      </c>
      <c r="Y96" s="60">
        <v>2</v>
      </c>
      <c r="Z96" s="60">
        <f t="shared" ref="Z96:Z97" si="72">X96*12*Y96</f>
        <v>2032800</v>
      </c>
    </row>
    <row r="97" spans="1:26" s="18" customFormat="1" hidden="1" outlineLevel="1" x14ac:dyDescent="0.3">
      <c r="A97" s="18" t="s">
        <v>54</v>
      </c>
      <c r="C97" s="60"/>
      <c r="D97" s="60">
        <v>30000</v>
      </c>
      <c r="E97" s="60">
        <v>10</v>
      </c>
      <c r="F97" s="60">
        <f t="shared" si="68"/>
        <v>3600000</v>
      </c>
      <c r="G97" s="60"/>
      <c r="H97" s="60"/>
      <c r="I97" s="60">
        <v>6000</v>
      </c>
      <c r="J97" s="60">
        <v>10</v>
      </c>
      <c r="K97" s="60">
        <f t="shared" si="69"/>
        <v>720000</v>
      </c>
      <c r="L97" s="60"/>
      <c r="M97" s="60"/>
      <c r="N97" s="60"/>
      <c r="O97" s="60"/>
      <c r="P97" s="60">
        <f t="shared" si="70"/>
        <v>0</v>
      </c>
      <c r="Q97" s="60"/>
      <c r="R97" s="61"/>
      <c r="S97" s="60"/>
      <c r="T97" s="60"/>
      <c r="U97" s="60">
        <f t="shared" si="71"/>
        <v>0</v>
      </c>
      <c r="V97" s="61"/>
      <c r="W97" s="61"/>
      <c r="X97" s="60"/>
      <c r="Y97" s="60"/>
      <c r="Z97" s="60">
        <f t="shared" si="72"/>
        <v>0</v>
      </c>
    </row>
    <row r="98" spans="1:26" s="18" customFormat="1" ht="17.25" hidden="1" outlineLevel="1" thickBot="1" x14ac:dyDescent="0.35">
      <c r="C98" s="60"/>
      <c r="D98" s="60"/>
      <c r="E98" s="60"/>
      <c r="F98" s="62">
        <f>SUM(F92:F97)+F91</f>
        <v>81051900</v>
      </c>
      <c r="G98" s="60"/>
      <c r="H98" s="60"/>
      <c r="I98" s="60"/>
      <c r="J98" s="60"/>
      <c r="K98" s="62">
        <f>SUM(K92:K97)+K91</f>
        <v>129462900</v>
      </c>
      <c r="L98" s="60"/>
      <c r="M98" s="60"/>
      <c r="N98" s="60"/>
      <c r="O98" s="60"/>
      <c r="P98" s="62">
        <f>SUM(P92:P97)+P91</f>
        <v>186731790</v>
      </c>
      <c r="Q98" s="60"/>
      <c r="R98" s="61"/>
      <c r="S98" s="60"/>
      <c r="T98" s="60"/>
      <c r="U98" s="62">
        <f>SUM(U92:U97)+U91</f>
        <v>238343790.00000003</v>
      </c>
      <c r="V98" s="61"/>
      <c r="W98" s="61"/>
      <c r="X98" s="60"/>
      <c r="Y98" s="60"/>
      <c r="Z98" s="62">
        <f>SUM(Z92:Z97)+Z91</f>
        <v>313018269.00000012</v>
      </c>
    </row>
    <row r="99" spans="1:26" s="18" customFormat="1" ht="17.25" hidden="1" outlineLevel="1" thickTop="1" x14ac:dyDescent="0.3">
      <c r="C99" s="60"/>
      <c r="D99" s="61"/>
      <c r="E99" s="61"/>
      <c r="F99" s="61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1"/>
      <c r="V99" s="61"/>
      <c r="W99" s="61"/>
      <c r="X99" s="61"/>
      <c r="Y99" s="61"/>
      <c r="Z99" s="61"/>
    </row>
    <row r="100" spans="1:26" s="18" customFormat="1" ht="17.25" hidden="1" outlineLevel="1" x14ac:dyDescent="0.35">
      <c r="A100" s="25" t="s">
        <v>60</v>
      </c>
      <c r="B100" s="25"/>
      <c r="C100" s="60"/>
      <c r="D100" s="61"/>
      <c r="E100" s="61"/>
      <c r="F100" s="61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1"/>
      <c r="V100" s="61"/>
      <c r="W100" s="61"/>
      <c r="X100" s="61"/>
      <c r="Y100" s="61"/>
      <c r="Z100" s="61"/>
    </row>
    <row r="101" spans="1:26" s="18" customFormat="1" hidden="1" outlineLevel="1" x14ac:dyDescent="0.3">
      <c r="A101" s="18" t="s">
        <v>99</v>
      </c>
      <c r="C101" s="60"/>
      <c r="D101" s="61"/>
      <c r="E101" s="61"/>
      <c r="F101" s="60">
        <v>2000000</v>
      </c>
      <c r="G101" s="60"/>
      <c r="H101" s="60"/>
      <c r="I101" s="61"/>
      <c r="J101" s="61"/>
      <c r="K101" s="60">
        <v>2000000</v>
      </c>
      <c r="L101" s="60"/>
      <c r="M101" s="60"/>
      <c r="N101" s="61"/>
      <c r="O101" s="61"/>
      <c r="P101" s="60">
        <v>2000000</v>
      </c>
      <c r="Q101" s="60"/>
      <c r="R101" s="60"/>
      <c r="S101" s="61"/>
      <c r="T101" s="61"/>
      <c r="U101" s="60">
        <v>2000000</v>
      </c>
      <c r="V101" s="61"/>
      <c r="W101" s="61"/>
      <c r="X101" s="61"/>
      <c r="Y101" s="61"/>
      <c r="Z101" s="60">
        <v>2000000</v>
      </c>
    </row>
    <row r="102" spans="1:26" s="18" customFormat="1" hidden="1" outlineLevel="1" x14ac:dyDescent="0.3">
      <c r="A102" s="18" t="s">
        <v>61</v>
      </c>
      <c r="C102" s="60"/>
      <c r="D102" s="61">
        <v>60000</v>
      </c>
      <c r="E102" s="61">
        <v>12</v>
      </c>
      <c r="F102" s="60">
        <f>E102*D102</f>
        <v>720000</v>
      </c>
      <c r="G102" s="60"/>
      <c r="H102" s="63"/>
      <c r="I102" s="61">
        <v>75000</v>
      </c>
      <c r="J102" s="61">
        <v>12</v>
      </c>
      <c r="K102" s="60">
        <f>J102*I102</f>
        <v>900000</v>
      </c>
      <c r="L102" s="60"/>
      <c r="M102" s="60"/>
      <c r="N102" s="61">
        <v>93750</v>
      </c>
      <c r="O102" s="61">
        <v>12</v>
      </c>
      <c r="P102" s="60">
        <f>O102*N102</f>
        <v>1125000</v>
      </c>
      <c r="Q102" s="60"/>
      <c r="R102" s="60"/>
      <c r="S102" s="61">
        <v>117188</v>
      </c>
      <c r="T102" s="61">
        <v>12</v>
      </c>
      <c r="U102" s="60">
        <f>T102*S102</f>
        <v>1406256</v>
      </c>
      <c r="V102" s="61"/>
      <c r="W102" s="61"/>
      <c r="X102" s="61">
        <v>146484</v>
      </c>
      <c r="Y102" s="61">
        <v>12</v>
      </c>
      <c r="Z102" s="60">
        <f>Y102*X102</f>
        <v>1757808</v>
      </c>
    </row>
    <row r="103" spans="1:26" s="18" customFormat="1" hidden="1" outlineLevel="1" x14ac:dyDescent="0.3">
      <c r="A103" s="18" t="s">
        <v>98</v>
      </c>
      <c r="C103" s="60"/>
      <c r="D103" s="61"/>
      <c r="E103" s="61"/>
      <c r="F103" s="60">
        <v>1000000</v>
      </c>
      <c r="G103" s="60"/>
      <c r="H103" s="63"/>
      <c r="I103" s="61"/>
      <c r="J103" s="61"/>
      <c r="K103" s="60">
        <v>1000000</v>
      </c>
      <c r="L103" s="60"/>
      <c r="M103" s="60"/>
      <c r="N103" s="61"/>
      <c r="O103" s="61"/>
      <c r="P103" s="60">
        <v>1000000</v>
      </c>
      <c r="Q103" s="60"/>
      <c r="R103" s="60"/>
      <c r="S103" s="61"/>
      <c r="T103" s="61"/>
      <c r="U103" s="60">
        <v>1000000</v>
      </c>
      <c r="V103" s="61"/>
      <c r="W103" s="61"/>
      <c r="X103" s="61"/>
      <c r="Y103" s="61"/>
      <c r="Z103" s="60">
        <v>1000000</v>
      </c>
    </row>
    <row r="104" spans="1:26" s="18" customFormat="1" hidden="1" outlineLevel="1" x14ac:dyDescent="0.3">
      <c r="A104" s="18" t="s">
        <v>62</v>
      </c>
      <c r="C104" s="60"/>
      <c r="D104" s="61">
        <v>60000</v>
      </c>
      <c r="E104" s="61">
        <v>12</v>
      </c>
      <c r="F104" s="60">
        <f t="shared" ref="F104:F105" si="73">E104*D104</f>
        <v>720000</v>
      </c>
      <c r="G104" s="60"/>
      <c r="H104" s="63"/>
      <c r="I104" s="61">
        <v>100000</v>
      </c>
      <c r="J104" s="61">
        <v>12</v>
      </c>
      <c r="K104" s="60">
        <f t="shared" ref="K104:K105" si="74">J104*I104</f>
        <v>1200000</v>
      </c>
      <c r="L104" s="60"/>
      <c r="M104" s="60"/>
      <c r="N104" s="61">
        <v>140625</v>
      </c>
      <c r="O104" s="61">
        <v>12</v>
      </c>
      <c r="P104" s="60">
        <f t="shared" ref="P104:P105" si="75">O104*N104</f>
        <v>1687500</v>
      </c>
      <c r="Q104" s="60"/>
      <c r="R104" s="60"/>
      <c r="S104" s="61">
        <v>156250</v>
      </c>
      <c r="T104" s="61">
        <v>12</v>
      </c>
      <c r="U104" s="60">
        <f t="shared" ref="U104:U105" si="76">T104*S104</f>
        <v>1875000</v>
      </c>
      <c r="V104" s="61"/>
      <c r="W104" s="61"/>
      <c r="X104" s="61">
        <v>195313</v>
      </c>
      <c r="Y104" s="61">
        <v>12</v>
      </c>
      <c r="Z104" s="60">
        <f t="shared" ref="Z104:Z105" si="77">Y104*X104</f>
        <v>2343756</v>
      </c>
    </row>
    <row r="105" spans="1:26" s="18" customFormat="1" hidden="1" outlineLevel="1" x14ac:dyDescent="0.3">
      <c r="A105" s="18" t="s">
        <v>95</v>
      </c>
      <c r="C105" s="60"/>
      <c r="D105" s="61">
        <v>50000</v>
      </c>
      <c r="E105" s="61">
        <v>12</v>
      </c>
      <c r="F105" s="60">
        <f t="shared" si="73"/>
        <v>600000</v>
      </c>
      <c r="G105" s="60"/>
      <c r="H105" s="63"/>
      <c r="I105" s="61">
        <v>75000</v>
      </c>
      <c r="J105" s="61">
        <v>12</v>
      </c>
      <c r="K105" s="60">
        <f t="shared" si="74"/>
        <v>900000</v>
      </c>
      <c r="L105" s="60"/>
      <c r="M105" s="60"/>
      <c r="N105" s="61">
        <v>93750</v>
      </c>
      <c r="O105" s="61">
        <v>12</v>
      </c>
      <c r="P105" s="60">
        <f t="shared" si="75"/>
        <v>1125000</v>
      </c>
      <c r="Q105" s="60"/>
      <c r="R105" s="60"/>
      <c r="S105" s="61">
        <v>117188</v>
      </c>
      <c r="T105" s="61">
        <v>12</v>
      </c>
      <c r="U105" s="60">
        <f t="shared" si="76"/>
        <v>1406256</v>
      </c>
      <c r="V105" s="61"/>
      <c r="W105" s="61"/>
      <c r="X105" s="61">
        <v>146484</v>
      </c>
      <c r="Y105" s="61">
        <v>12</v>
      </c>
      <c r="Z105" s="60">
        <f t="shared" si="77"/>
        <v>1757808</v>
      </c>
    </row>
    <row r="106" spans="1:26" s="18" customFormat="1" hidden="1" outlineLevel="1" x14ac:dyDescent="0.3">
      <c r="A106" s="18" t="s">
        <v>96</v>
      </c>
      <c r="C106" s="60"/>
      <c r="D106" s="61"/>
      <c r="E106" s="61"/>
      <c r="F106" s="60">
        <v>200000</v>
      </c>
      <c r="G106" s="60"/>
      <c r="H106" s="63"/>
      <c r="I106" s="61"/>
      <c r="J106" s="61"/>
      <c r="K106" s="60">
        <v>200000</v>
      </c>
      <c r="L106" s="60"/>
      <c r="M106" s="60"/>
      <c r="N106" s="61"/>
      <c r="O106" s="61"/>
      <c r="P106" s="60">
        <v>200000</v>
      </c>
      <c r="Q106" s="60"/>
      <c r="R106" s="60"/>
      <c r="S106" s="61"/>
      <c r="T106" s="61"/>
      <c r="U106" s="60">
        <v>200000</v>
      </c>
      <c r="V106" s="61"/>
      <c r="W106" s="61"/>
      <c r="X106" s="61"/>
      <c r="Y106" s="61"/>
      <c r="Z106" s="60">
        <v>200000</v>
      </c>
    </row>
    <row r="107" spans="1:26" s="18" customFormat="1" hidden="1" outlineLevel="1" x14ac:dyDescent="0.3">
      <c r="A107" s="18" t="s">
        <v>100</v>
      </c>
      <c r="C107" s="60"/>
      <c r="D107" s="61">
        <v>100000</v>
      </c>
      <c r="E107" s="61">
        <v>12</v>
      </c>
      <c r="F107" s="60">
        <f t="shared" ref="F107:F108" si="78">E107*D107</f>
        <v>1200000</v>
      </c>
      <c r="G107" s="60"/>
      <c r="H107" s="63"/>
      <c r="I107" s="61">
        <v>100000</v>
      </c>
      <c r="J107" s="61">
        <v>12</v>
      </c>
      <c r="K107" s="60">
        <f t="shared" ref="K107:K108" si="79">J107*I107</f>
        <v>1200000</v>
      </c>
      <c r="L107" s="60"/>
      <c r="M107" s="60"/>
      <c r="N107" s="61">
        <v>100000</v>
      </c>
      <c r="O107" s="61">
        <v>12</v>
      </c>
      <c r="P107" s="60">
        <f t="shared" ref="P107:P108" si="80">O107*N107</f>
        <v>1200000</v>
      </c>
      <c r="Q107" s="60"/>
      <c r="R107" s="60"/>
      <c r="S107" s="61">
        <v>100000</v>
      </c>
      <c r="T107" s="61">
        <v>12</v>
      </c>
      <c r="U107" s="60">
        <f t="shared" ref="U107:U108" si="81">T107*S107</f>
        <v>1200000</v>
      </c>
      <c r="V107" s="61"/>
      <c r="W107" s="61"/>
      <c r="X107" s="61">
        <v>100000</v>
      </c>
      <c r="Y107" s="61">
        <v>12</v>
      </c>
      <c r="Z107" s="60">
        <f t="shared" ref="Z107:Z108" si="82">Y107*X107</f>
        <v>1200000</v>
      </c>
    </row>
    <row r="108" spans="1:26" s="18" customFormat="1" hidden="1" outlineLevel="1" x14ac:dyDescent="0.3">
      <c r="A108" s="18" t="s">
        <v>63</v>
      </c>
      <c r="C108" s="60"/>
      <c r="D108" s="61">
        <v>80000</v>
      </c>
      <c r="E108" s="61">
        <v>12</v>
      </c>
      <c r="F108" s="60">
        <f t="shared" si="78"/>
        <v>960000</v>
      </c>
      <c r="G108" s="60"/>
      <c r="H108" s="63"/>
      <c r="I108" s="61">
        <v>87500</v>
      </c>
      <c r="J108" s="61">
        <v>12</v>
      </c>
      <c r="K108" s="60">
        <f t="shared" si="79"/>
        <v>1050000</v>
      </c>
      <c r="L108" s="60"/>
      <c r="M108" s="60"/>
      <c r="N108" s="61">
        <v>109375</v>
      </c>
      <c r="O108" s="61">
        <v>12</v>
      </c>
      <c r="P108" s="60">
        <f t="shared" si="80"/>
        <v>1312500</v>
      </c>
      <c r="Q108" s="60"/>
      <c r="R108" s="60"/>
      <c r="S108" s="61">
        <v>136719</v>
      </c>
      <c r="T108" s="61">
        <v>12</v>
      </c>
      <c r="U108" s="60">
        <f t="shared" si="81"/>
        <v>1640628</v>
      </c>
      <c r="V108" s="61"/>
      <c r="W108" s="61"/>
      <c r="X108" s="61">
        <v>170898</v>
      </c>
      <c r="Y108" s="61">
        <v>12</v>
      </c>
      <c r="Z108" s="60">
        <f t="shared" si="82"/>
        <v>2050776</v>
      </c>
    </row>
    <row r="109" spans="1:26" s="18" customFormat="1" hidden="1" outlineLevel="1" x14ac:dyDescent="0.3">
      <c r="A109" s="18" t="s">
        <v>64</v>
      </c>
      <c r="C109" s="60"/>
      <c r="D109" s="61">
        <v>250000</v>
      </c>
      <c r="E109" s="61">
        <v>12</v>
      </c>
      <c r="F109" s="60">
        <f>E109*D109</f>
        <v>3000000</v>
      </c>
      <c r="G109" s="60"/>
      <c r="H109" s="63"/>
      <c r="I109" s="61">
        <v>500000</v>
      </c>
      <c r="J109" s="61">
        <v>12</v>
      </c>
      <c r="K109" s="60">
        <f>J109*I109</f>
        <v>6000000</v>
      </c>
      <c r="L109" s="60"/>
      <c r="M109" s="60"/>
      <c r="N109" s="61">
        <v>510000</v>
      </c>
      <c r="O109" s="61">
        <v>12</v>
      </c>
      <c r="P109" s="60">
        <f>O109*N109</f>
        <v>6120000</v>
      </c>
      <c r="Q109" s="60"/>
      <c r="R109" s="60"/>
      <c r="S109" s="61">
        <v>520000</v>
      </c>
      <c r="T109" s="61">
        <v>12</v>
      </c>
      <c r="U109" s="60">
        <f>T109*S109</f>
        <v>6240000</v>
      </c>
      <c r="V109" s="61"/>
      <c r="W109" s="61"/>
      <c r="X109" s="61">
        <v>540000</v>
      </c>
      <c r="Y109" s="61">
        <v>12</v>
      </c>
      <c r="Z109" s="60">
        <f>Y109*X109</f>
        <v>6480000</v>
      </c>
    </row>
    <row r="110" spans="1:26" s="18" customFormat="1" hidden="1" outlineLevel="1" x14ac:dyDescent="0.3">
      <c r="A110" s="18" t="s">
        <v>70</v>
      </c>
      <c r="C110" s="60"/>
      <c r="D110" s="61">
        <v>62500</v>
      </c>
      <c r="E110" s="61">
        <v>12</v>
      </c>
      <c r="F110" s="60">
        <f>E110*D110</f>
        <v>750000</v>
      </c>
      <c r="G110" s="60"/>
      <c r="H110" s="63"/>
      <c r="I110" s="61">
        <v>125000</v>
      </c>
      <c r="J110" s="61">
        <v>12</v>
      </c>
      <c r="K110" s="60">
        <f>J110*I110</f>
        <v>1500000</v>
      </c>
      <c r="L110" s="60"/>
      <c r="M110" s="60"/>
      <c r="N110" s="61"/>
      <c r="O110" s="61"/>
      <c r="P110" s="60">
        <f>O110*N110</f>
        <v>0</v>
      </c>
      <c r="Q110" s="60"/>
      <c r="R110" s="60"/>
      <c r="S110" s="61">
        <v>193313</v>
      </c>
      <c r="T110" s="61">
        <v>12</v>
      </c>
      <c r="U110" s="60">
        <f>T110*S110</f>
        <v>2319756</v>
      </c>
      <c r="V110" s="61"/>
      <c r="W110" s="61"/>
      <c r="X110" s="61">
        <v>202141</v>
      </c>
      <c r="Y110" s="61">
        <v>12</v>
      </c>
      <c r="Z110" s="60">
        <f>Y110*X110</f>
        <v>2425692</v>
      </c>
    </row>
    <row r="111" spans="1:26" s="18" customFormat="1" ht="17.25" hidden="1" outlineLevel="1" thickBot="1" x14ac:dyDescent="0.35">
      <c r="C111" s="60"/>
      <c r="D111" s="61"/>
      <c r="E111" s="61"/>
      <c r="F111" s="64">
        <f>SUM(F101:F110)</f>
        <v>11150000</v>
      </c>
      <c r="G111" s="60"/>
      <c r="H111" s="60"/>
      <c r="I111" s="61"/>
      <c r="J111" s="61"/>
      <c r="K111" s="64">
        <f>SUM(K101:K110)</f>
        <v>15950000</v>
      </c>
      <c r="L111" s="60"/>
      <c r="M111" s="60"/>
      <c r="N111" s="61"/>
      <c r="O111" s="61"/>
      <c r="P111" s="64">
        <f>SUM(P101:P110)</f>
        <v>15770000</v>
      </c>
      <c r="Q111" s="60"/>
      <c r="R111" s="60"/>
      <c r="S111" s="61"/>
      <c r="T111" s="61"/>
      <c r="U111" s="64">
        <f>SUM(U101:U110)</f>
        <v>19287896</v>
      </c>
      <c r="V111" s="61"/>
      <c r="W111" s="61"/>
      <c r="X111" s="61"/>
      <c r="Y111" s="61"/>
      <c r="Z111" s="64">
        <f>SUM(Z101:Z110)</f>
        <v>21215840</v>
      </c>
    </row>
    <row r="112" spans="1:26" s="18" customFormat="1" ht="17.25" hidden="1" outlineLevel="1" thickTop="1" x14ac:dyDescent="0.3"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1"/>
      <c r="W112" s="61"/>
      <c r="X112" s="60"/>
      <c r="Y112" s="60"/>
      <c r="Z112" s="60"/>
    </row>
    <row r="113" spans="1:26" s="18" customFormat="1" ht="17.25" hidden="1" outlineLevel="1" x14ac:dyDescent="0.35">
      <c r="A113" s="25" t="s">
        <v>101</v>
      </c>
      <c r="B113" s="25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1"/>
      <c r="W113" s="61"/>
      <c r="X113" s="60"/>
      <c r="Y113" s="60"/>
      <c r="Z113" s="60"/>
    </row>
    <row r="114" spans="1:26" s="18" customFormat="1" hidden="1" outlineLevel="1" x14ac:dyDescent="0.3">
      <c r="A114" s="18" t="s">
        <v>91</v>
      </c>
      <c r="C114" s="60"/>
      <c r="D114" s="60"/>
      <c r="E114" s="60"/>
      <c r="F114" s="60">
        <v>200000</v>
      </c>
      <c r="G114" s="60"/>
      <c r="H114" s="60"/>
      <c r="I114" s="60"/>
      <c r="J114" s="60"/>
      <c r="K114" s="60">
        <v>200000</v>
      </c>
      <c r="L114" s="60"/>
      <c r="M114" s="60"/>
      <c r="N114" s="60"/>
      <c r="O114" s="60"/>
      <c r="P114" s="60">
        <v>200000</v>
      </c>
      <c r="Q114" s="60"/>
      <c r="R114" s="60"/>
      <c r="S114" s="60"/>
      <c r="T114" s="60"/>
      <c r="U114" s="60">
        <v>200000</v>
      </c>
      <c r="V114" s="61"/>
      <c r="W114" s="61"/>
      <c r="X114" s="60"/>
      <c r="Y114" s="60"/>
      <c r="Z114" s="60">
        <v>200000</v>
      </c>
    </row>
    <row r="115" spans="1:26" s="18" customFormat="1" hidden="1" outlineLevel="1" x14ac:dyDescent="0.3">
      <c r="A115" s="18" t="s">
        <v>76</v>
      </c>
      <c r="C115" s="60"/>
      <c r="D115" s="60"/>
      <c r="E115" s="60"/>
      <c r="F115" s="60"/>
      <c r="G115" s="60"/>
      <c r="H115" s="60"/>
      <c r="I115" s="60">
        <v>100000</v>
      </c>
      <c r="J115" s="60">
        <v>12</v>
      </c>
      <c r="K115" s="60">
        <f t="shared" ref="K115:K118" si="83">J115*I115</f>
        <v>1200000</v>
      </c>
      <c r="L115" s="60"/>
      <c r="M115" s="60"/>
      <c r="N115" s="60">
        <v>80000</v>
      </c>
      <c r="O115" s="60">
        <v>12</v>
      </c>
      <c r="P115" s="60">
        <f t="shared" ref="P115:P118" si="84">O115*N115</f>
        <v>960000</v>
      </c>
      <c r="Q115" s="60"/>
      <c r="R115" s="60"/>
      <c r="S115" s="60">
        <v>80000</v>
      </c>
      <c r="T115" s="60">
        <v>12</v>
      </c>
      <c r="U115" s="60">
        <f t="shared" ref="U115:U118" si="85">T115*S115</f>
        <v>960000</v>
      </c>
      <c r="V115" s="61"/>
      <c r="W115" s="61"/>
      <c r="X115" s="60">
        <v>70000</v>
      </c>
      <c r="Y115" s="60">
        <v>12</v>
      </c>
      <c r="Z115" s="60">
        <f t="shared" ref="Z115:Z118" si="86">Y115*X115</f>
        <v>840000</v>
      </c>
    </row>
    <row r="116" spans="1:26" s="18" customFormat="1" hidden="1" outlineLevel="1" x14ac:dyDescent="0.3">
      <c r="A116" s="18" t="s">
        <v>65</v>
      </c>
      <c r="C116" s="60"/>
      <c r="D116" s="60"/>
      <c r="E116" s="60"/>
      <c r="F116" s="60"/>
      <c r="G116" s="60"/>
      <c r="H116" s="60"/>
      <c r="I116" s="60">
        <v>100000</v>
      </c>
      <c r="J116" s="60">
        <v>12</v>
      </c>
      <c r="K116" s="60">
        <f t="shared" si="83"/>
        <v>1200000</v>
      </c>
      <c r="L116" s="60"/>
      <c r="M116" s="60"/>
      <c r="N116" s="60">
        <v>90000</v>
      </c>
      <c r="O116" s="60">
        <v>12</v>
      </c>
      <c r="P116" s="60">
        <f t="shared" si="84"/>
        <v>1080000</v>
      </c>
      <c r="Q116" s="60"/>
      <c r="R116" s="60"/>
      <c r="S116" s="60">
        <v>90000</v>
      </c>
      <c r="T116" s="60">
        <v>12</v>
      </c>
      <c r="U116" s="60">
        <f t="shared" si="85"/>
        <v>1080000</v>
      </c>
      <c r="V116" s="61"/>
      <c r="W116" s="61"/>
      <c r="X116" s="60">
        <v>60000</v>
      </c>
      <c r="Y116" s="60">
        <v>12</v>
      </c>
      <c r="Z116" s="60">
        <f t="shared" si="86"/>
        <v>720000</v>
      </c>
    </row>
    <row r="117" spans="1:26" s="18" customFormat="1" hidden="1" outlineLevel="1" x14ac:dyDescent="0.3">
      <c r="A117" s="18" t="s">
        <v>66</v>
      </c>
      <c r="C117" s="60"/>
      <c r="D117" s="60"/>
      <c r="E117" s="60"/>
      <c r="F117" s="60"/>
      <c r="G117" s="60"/>
      <c r="H117" s="60"/>
      <c r="I117" s="60">
        <v>100000</v>
      </c>
      <c r="J117" s="60">
        <v>12</v>
      </c>
      <c r="K117" s="60">
        <f t="shared" si="83"/>
        <v>1200000</v>
      </c>
      <c r="L117" s="60"/>
      <c r="M117" s="60"/>
      <c r="N117" s="60">
        <v>90000</v>
      </c>
      <c r="O117" s="60">
        <v>12</v>
      </c>
      <c r="P117" s="60">
        <f t="shared" si="84"/>
        <v>1080000</v>
      </c>
      <c r="Q117" s="60"/>
      <c r="R117" s="60"/>
      <c r="S117" s="60">
        <v>90000</v>
      </c>
      <c r="T117" s="60">
        <v>12</v>
      </c>
      <c r="U117" s="60">
        <f t="shared" si="85"/>
        <v>1080000</v>
      </c>
      <c r="V117" s="61"/>
      <c r="W117" s="61"/>
      <c r="X117" s="60">
        <v>62000</v>
      </c>
      <c r="Y117" s="60">
        <v>12</v>
      </c>
      <c r="Z117" s="60">
        <f t="shared" si="86"/>
        <v>744000</v>
      </c>
    </row>
    <row r="118" spans="1:26" s="18" customFormat="1" hidden="1" outlineLevel="1" x14ac:dyDescent="0.3">
      <c r="A118" s="18" t="s">
        <v>67</v>
      </c>
      <c r="C118" s="60"/>
      <c r="D118" s="60">
        <v>100000</v>
      </c>
      <c r="E118" s="60">
        <v>12</v>
      </c>
      <c r="F118" s="61">
        <f>D118*E118</f>
        <v>1200000</v>
      </c>
      <c r="G118" s="60"/>
      <c r="H118" s="60"/>
      <c r="I118" s="60">
        <v>100000</v>
      </c>
      <c r="J118" s="60">
        <v>12</v>
      </c>
      <c r="K118" s="60">
        <f t="shared" si="83"/>
        <v>1200000</v>
      </c>
      <c r="L118" s="60"/>
      <c r="M118" s="60"/>
      <c r="N118" s="60">
        <v>100000</v>
      </c>
      <c r="O118" s="60">
        <v>12</v>
      </c>
      <c r="P118" s="60">
        <f t="shared" si="84"/>
        <v>1200000</v>
      </c>
      <c r="Q118" s="60"/>
      <c r="R118" s="60"/>
      <c r="S118" s="60">
        <v>100000</v>
      </c>
      <c r="T118" s="60">
        <v>12</v>
      </c>
      <c r="U118" s="60">
        <f t="shared" si="85"/>
        <v>1200000</v>
      </c>
      <c r="V118" s="61"/>
      <c r="W118" s="61"/>
      <c r="X118" s="60">
        <v>100000</v>
      </c>
      <c r="Y118" s="60">
        <v>12</v>
      </c>
      <c r="Z118" s="60">
        <f t="shared" si="86"/>
        <v>1200000</v>
      </c>
    </row>
    <row r="119" spans="1:26" s="18" customFormat="1" hidden="1" outlineLevel="1" x14ac:dyDescent="0.3">
      <c r="A119" s="18" t="s">
        <v>92</v>
      </c>
      <c r="C119" s="60"/>
      <c r="D119" s="60"/>
      <c r="E119" s="60"/>
      <c r="F119" s="61">
        <v>200000</v>
      </c>
      <c r="G119" s="60"/>
      <c r="H119" s="60"/>
      <c r="I119" s="60"/>
      <c r="J119" s="60"/>
      <c r="K119" s="61">
        <v>200000</v>
      </c>
      <c r="L119" s="60"/>
      <c r="M119" s="60"/>
      <c r="N119" s="60"/>
      <c r="O119" s="60"/>
      <c r="P119" s="61">
        <v>200000</v>
      </c>
      <c r="Q119" s="60"/>
      <c r="R119" s="60"/>
      <c r="S119" s="60"/>
      <c r="T119" s="60"/>
      <c r="U119" s="61">
        <v>200000</v>
      </c>
      <c r="V119" s="61"/>
      <c r="W119" s="61"/>
      <c r="X119" s="60"/>
      <c r="Y119" s="60"/>
      <c r="Z119" s="61">
        <v>200000</v>
      </c>
    </row>
    <row r="120" spans="1:26" s="18" customFormat="1" hidden="1" outlineLevel="1" x14ac:dyDescent="0.3">
      <c r="A120" s="18" t="s">
        <v>93</v>
      </c>
      <c r="C120" s="60"/>
      <c r="D120" s="60"/>
      <c r="E120" s="60"/>
      <c r="F120" s="60">
        <v>200000</v>
      </c>
      <c r="G120" s="60"/>
      <c r="H120" s="60"/>
      <c r="I120" s="60"/>
      <c r="J120" s="60"/>
      <c r="K120" s="60">
        <v>200000</v>
      </c>
      <c r="L120" s="60"/>
      <c r="M120" s="60"/>
      <c r="N120" s="60"/>
      <c r="O120" s="60"/>
      <c r="P120" s="60">
        <v>200000</v>
      </c>
      <c r="Q120" s="60"/>
      <c r="R120" s="60"/>
      <c r="S120" s="60"/>
      <c r="T120" s="60"/>
      <c r="U120" s="60">
        <v>200000</v>
      </c>
      <c r="V120" s="61"/>
      <c r="W120" s="61"/>
      <c r="X120" s="60"/>
      <c r="Y120" s="60"/>
      <c r="Z120" s="60">
        <v>200000</v>
      </c>
    </row>
    <row r="121" spans="1:26" s="18" customFormat="1" hidden="1" outlineLevel="1" x14ac:dyDescent="0.3">
      <c r="A121" s="18" t="s">
        <v>68</v>
      </c>
      <c r="C121" s="60"/>
      <c r="D121" s="60"/>
      <c r="E121" s="60"/>
      <c r="F121" s="60"/>
      <c r="G121" s="60"/>
      <c r="H121" s="60"/>
      <c r="I121" s="60">
        <v>200000</v>
      </c>
      <c r="J121" s="60">
        <v>12</v>
      </c>
      <c r="K121" s="60">
        <f>J121*I121</f>
        <v>2400000</v>
      </c>
      <c r="L121" s="60"/>
      <c r="M121" s="60"/>
      <c r="N121" s="60">
        <v>100000</v>
      </c>
      <c r="O121" s="60">
        <v>12</v>
      </c>
      <c r="P121" s="60">
        <f>O121*N121</f>
        <v>1200000</v>
      </c>
      <c r="Q121" s="60"/>
      <c r="R121" s="60"/>
      <c r="S121" s="60">
        <v>120000</v>
      </c>
      <c r="T121" s="60">
        <v>12</v>
      </c>
      <c r="U121" s="60">
        <f>T121*S121</f>
        <v>1440000</v>
      </c>
      <c r="V121" s="61"/>
      <c r="W121" s="61"/>
      <c r="X121" s="60">
        <v>100000</v>
      </c>
      <c r="Y121" s="60">
        <v>12</v>
      </c>
      <c r="Z121" s="60">
        <f>Y121*X121</f>
        <v>1200000</v>
      </c>
    </row>
    <row r="122" spans="1:26" s="18" customFormat="1" hidden="1" outlineLevel="1" x14ac:dyDescent="0.3">
      <c r="A122" s="18" t="s">
        <v>94</v>
      </c>
      <c r="C122" s="60"/>
      <c r="D122" s="60"/>
      <c r="E122" s="60"/>
      <c r="F122" s="60">
        <v>100000</v>
      </c>
      <c r="G122" s="60"/>
      <c r="H122" s="60"/>
      <c r="I122" s="60"/>
      <c r="J122" s="60"/>
      <c r="K122" s="60">
        <v>100000</v>
      </c>
      <c r="L122" s="60"/>
      <c r="M122" s="60"/>
      <c r="N122" s="60"/>
      <c r="O122" s="60"/>
      <c r="P122" s="60">
        <v>100000</v>
      </c>
      <c r="Q122" s="60"/>
      <c r="R122" s="60"/>
      <c r="S122" s="60"/>
      <c r="T122" s="60"/>
      <c r="U122" s="60">
        <v>100000</v>
      </c>
      <c r="V122" s="61"/>
      <c r="W122" s="61"/>
      <c r="X122" s="60"/>
      <c r="Y122" s="60"/>
      <c r="Z122" s="60">
        <v>100000</v>
      </c>
    </row>
    <row r="123" spans="1:26" s="18" customFormat="1" ht="17.25" hidden="1" outlineLevel="1" thickBot="1" x14ac:dyDescent="0.35">
      <c r="C123" s="60"/>
      <c r="D123" s="60"/>
      <c r="E123" s="60"/>
      <c r="F123" s="62">
        <f>SUM(F114:F122)</f>
        <v>1900000</v>
      </c>
      <c r="G123" s="60"/>
      <c r="H123" s="60"/>
      <c r="I123" s="60"/>
      <c r="J123" s="60"/>
      <c r="K123" s="62">
        <f>SUM(K114:K122)</f>
        <v>7900000</v>
      </c>
      <c r="L123" s="60"/>
      <c r="M123" s="60"/>
      <c r="N123" s="60"/>
      <c r="O123" s="60"/>
      <c r="P123" s="62">
        <f>SUM(P114:P122)</f>
        <v>6220000</v>
      </c>
      <c r="Q123" s="60"/>
      <c r="R123" s="60"/>
      <c r="S123" s="60"/>
      <c r="T123" s="60"/>
      <c r="U123" s="62">
        <f>SUM(U114:U122)</f>
        <v>6460000</v>
      </c>
      <c r="V123" s="61"/>
      <c r="W123" s="61"/>
      <c r="X123" s="60"/>
      <c r="Y123" s="60"/>
      <c r="Z123" s="62">
        <f>SUM(Z114:Z122)</f>
        <v>5404000</v>
      </c>
    </row>
    <row r="124" spans="1:26" s="18" customFormat="1" ht="18" hidden="1" outlineLevel="1" thickTop="1" x14ac:dyDescent="0.35">
      <c r="A124" s="22" t="s">
        <v>73</v>
      </c>
      <c r="B124" s="22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1"/>
      <c r="W124" s="61"/>
      <c r="X124" s="60"/>
      <c r="Y124" s="60"/>
      <c r="Z124" s="60"/>
    </row>
    <row r="125" spans="1:26" s="18" customFormat="1" hidden="1" outlineLevel="1" x14ac:dyDescent="0.3">
      <c r="A125" s="18" t="s">
        <v>71</v>
      </c>
      <c r="C125" s="60"/>
      <c r="D125" s="60"/>
      <c r="E125" s="60"/>
      <c r="F125" s="60">
        <f>F63</f>
        <v>53040000.000000007</v>
      </c>
      <c r="G125" s="60"/>
      <c r="H125" s="60"/>
      <c r="I125" s="60"/>
      <c r="J125" s="60"/>
      <c r="K125" s="60">
        <f t="shared" ref="K125:Z125" si="87">K63</f>
        <v>50671414.112210929</v>
      </c>
      <c r="L125" s="60"/>
      <c r="M125" s="60"/>
      <c r="N125" s="60"/>
      <c r="O125" s="60"/>
      <c r="P125" s="60">
        <f t="shared" si="87"/>
        <v>47900168.62349771</v>
      </c>
      <c r="Q125" s="60"/>
      <c r="R125" s="60"/>
      <c r="S125" s="60"/>
      <c r="T125" s="60"/>
      <c r="U125" s="60">
        <f t="shared" si="87"/>
        <v>44657811.401703253</v>
      </c>
      <c r="V125" s="60"/>
      <c r="W125" s="60"/>
      <c r="X125" s="60"/>
      <c r="Y125" s="60"/>
      <c r="Z125" s="60">
        <f t="shared" si="87"/>
        <v>40864253.452203736</v>
      </c>
    </row>
    <row r="126" spans="1:26" s="18" customFormat="1" hidden="1" outlineLevel="1" x14ac:dyDescent="0.3">
      <c r="A126" s="18" t="s">
        <v>72</v>
      </c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1"/>
      <c r="W126" s="61"/>
      <c r="X126" s="60"/>
      <c r="Y126" s="60"/>
      <c r="Z126" s="60"/>
    </row>
    <row r="127" spans="1:26" s="18" customFormat="1" ht="17.25" hidden="1" outlineLevel="1" thickBot="1" x14ac:dyDescent="0.35">
      <c r="C127" s="60"/>
      <c r="D127" s="60"/>
      <c r="E127" s="60"/>
      <c r="F127" s="62">
        <f>SUM(F125:F126)</f>
        <v>53040000.000000007</v>
      </c>
      <c r="G127" s="60"/>
      <c r="H127" s="60"/>
      <c r="I127" s="60"/>
      <c r="J127" s="60"/>
      <c r="K127" s="62">
        <f>SUM(K125:K126)</f>
        <v>50671414.112210929</v>
      </c>
      <c r="L127" s="60"/>
      <c r="M127" s="60"/>
      <c r="N127" s="60"/>
      <c r="O127" s="60"/>
      <c r="P127" s="62">
        <f>SUM(P125:P126)</f>
        <v>47900168.62349771</v>
      </c>
      <c r="Q127" s="60"/>
      <c r="R127" s="60"/>
      <c r="S127" s="60"/>
      <c r="T127" s="60"/>
      <c r="U127" s="62">
        <f>SUM(U125:U126)</f>
        <v>44657811.401703253</v>
      </c>
      <c r="V127" s="61"/>
      <c r="W127" s="61"/>
      <c r="X127" s="60"/>
      <c r="Y127" s="60"/>
      <c r="Z127" s="62">
        <f>SUM(Z125:Z126)</f>
        <v>40864253.452203736</v>
      </c>
    </row>
    <row r="128" spans="1:26" s="18" customFormat="1" ht="17.25" hidden="1" outlineLevel="1" thickTop="1" x14ac:dyDescent="0.3"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1"/>
      <c r="W128" s="61"/>
      <c r="X128" s="60"/>
      <c r="Y128" s="60"/>
      <c r="Z128" s="60"/>
    </row>
    <row r="129" spans="1:26" s="18" customFormat="1" hidden="1" outlineLevel="1" x14ac:dyDescent="0.3">
      <c r="A129" s="18" t="s">
        <v>69</v>
      </c>
      <c r="C129" s="60"/>
      <c r="D129" s="60">
        <v>70000</v>
      </c>
      <c r="E129" s="60">
        <v>5</v>
      </c>
      <c r="F129" s="60">
        <f>D129*E129</f>
        <v>350000</v>
      </c>
      <c r="G129" s="60"/>
      <c r="H129" s="60"/>
      <c r="I129" s="60">
        <v>70000</v>
      </c>
      <c r="J129" s="60">
        <v>15</v>
      </c>
      <c r="K129" s="60">
        <f>I129*J129</f>
        <v>1050000</v>
      </c>
      <c r="L129" s="60"/>
      <c r="M129" s="60"/>
      <c r="N129" s="60">
        <v>70000</v>
      </c>
      <c r="O129" s="60">
        <v>25</v>
      </c>
      <c r="P129" s="60">
        <f>N129*O129</f>
        <v>1750000</v>
      </c>
      <c r="Q129" s="60"/>
      <c r="R129" s="60"/>
      <c r="S129" s="60">
        <v>70000</v>
      </c>
      <c r="T129" s="60">
        <v>35</v>
      </c>
      <c r="U129" s="60">
        <f>S129*T129</f>
        <v>2450000</v>
      </c>
      <c r="V129" s="61"/>
      <c r="W129" s="61"/>
      <c r="X129" s="60">
        <v>70000</v>
      </c>
      <c r="Y129" s="60">
        <v>45</v>
      </c>
      <c r="Z129" s="60">
        <f>X129*Y129</f>
        <v>3150000</v>
      </c>
    </row>
    <row r="130" spans="1:26" s="20" customFormat="1" hidden="1" outlineLevel="1" x14ac:dyDescent="0.3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6"/>
      <c r="W130" s="66"/>
      <c r="X130" s="65"/>
      <c r="Y130" s="65"/>
      <c r="Z130" s="65"/>
    </row>
    <row r="131" spans="1:26" ht="17.25" hidden="1" outlineLevel="1" x14ac:dyDescent="0.35">
      <c r="A131" s="4" t="s">
        <v>86</v>
      </c>
      <c r="B131" s="4"/>
      <c r="C131" s="206" t="s">
        <v>89</v>
      </c>
      <c r="D131" s="206"/>
      <c r="E131" s="206"/>
      <c r="F131" s="206"/>
      <c r="G131" s="206"/>
      <c r="H131" s="206"/>
      <c r="I131" s="9">
        <v>2.5000000000000001E-2</v>
      </c>
      <c r="J131" s="3">
        <f>I131+1</f>
        <v>1.0249999999999999</v>
      </c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</row>
    <row r="132" spans="1:26" s="18" customFormat="1" hidden="1" outlineLevel="1" x14ac:dyDescent="0.3">
      <c r="A132" s="18" t="s">
        <v>7</v>
      </c>
      <c r="C132" s="60">
        <v>5831250</v>
      </c>
      <c r="D132" s="60">
        <v>17746500</v>
      </c>
      <c r="E132" s="60">
        <v>40254000</v>
      </c>
      <c r="F132" s="60">
        <v>63831750</v>
      </c>
      <c r="G132" s="63"/>
      <c r="H132" s="60">
        <f>((C132/(3*5)*J131)*(8*3))</f>
        <v>9563249.9999999981</v>
      </c>
      <c r="I132" s="60">
        <f>((D132/(3*5)*J131)*(8*3))</f>
        <v>29104260</v>
      </c>
      <c r="J132" s="60">
        <f>((E132/(3*5)*J131)*(8*3))</f>
        <v>66016559.999999985</v>
      </c>
      <c r="K132" s="63">
        <f>SUM(H132:J132)</f>
        <v>104684069.99999999</v>
      </c>
      <c r="L132" s="63"/>
      <c r="M132" s="60">
        <f>((H132/(3*8)*J131)*(11*3))</f>
        <v>13478205.468749996</v>
      </c>
      <c r="N132" s="60">
        <f>((I132/(3*8)*J131)*(11*3))</f>
        <v>41018816.4375</v>
      </c>
      <c r="O132" s="60">
        <f>((J132/(3*8)*J131)*(11*3))</f>
        <v>93042089.24999997</v>
      </c>
      <c r="P132" s="63">
        <f>SUM(M132:O132)</f>
        <v>147539111.15624997</v>
      </c>
      <c r="Q132" s="63"/>
      <c r="R132" s="60">
        <f>((M132/(3*11)*J131)*(14*3))</f>
        <v>17582931.679687493</v>
      </c>
      <c r="S132" s="60">
        <f>((N132/(3*11)*J131)*(14*3))</f>
        <v>53510910.534374997</v>
      </c>
      <c r="T132" s="60">
        <f>((O132/(3*11)*J131)*(14*3))</f>
        <v>121377634.61249995</v>
      </c>
      <c r="U132" s="61">
        <f>SUM(R132:T132)</f>
        <v>192471476.82656243</v>
      </c>
      <c r="V132" s="61"/>
      <c r="W132" s="60">
        <f>((R132/(3*14)*J131)*(17*3))</f>
        <v>21884470.322753895</v>
      </c>
      <c r="X132" s="60">
        <f>((S132/(3*14)*J131)*(17*3))</f>
        <v>66601972.575820304</v>
      </c>
      <c r="Y132" s="60">
        <f>((T132/(3*14)*J131)*(17*3))</f>
        <v>151071805.93734369</v>
      </c>
      <c r="Z132" s="61">
        <f>SUM(W132:Y132)</f>
        <v>239558248.83591789</v>
      </c>
    </row>
    <row r="133" spans="1:26" s="18" customFormat="1" hidden="1" outlineLevel="1" x14ac:dyDescent="0.3">
      <c r="A133" s="18" t="s">
        <v>8</v>
      </c>
      <c r="C133" s="60">
        <v>1000000</v>
      </c>
      <c r="D133" s="60">
        <v>1500000</v>
      </c>
      <c r="E133" s="60">
        <v>1750000</v>
      </c>
      <c r="F133" s="60">
        <v>4250000</v>
      </c>
      <c r="G133" s="60"/>
      <c r="H133" s="60">
        <f>((C133/20)*(8*4))</f>
        <v>1600000</v>
      </c>
      <c r="I133" s="60">
        <f>((D133/30)*(8*6))</f>
        <v>2400000</v>
      </c>
      <c r="J133" s="60">
        <f>((E133/35)*(8*7))</f>
        <v>2800000</v>
      </c>
      <c r="K133" s="63">
        <f t="shared" ref="K133:K138" si="88">SUM(H133:J133)</f>
        <v>6800000</v>
      </c>
      <c r="L133" s="60"/>
      <c r="M133" s="60">
        <f>((H133/(8*4))*(11*4))</f>
        <v>2200000</v>
      </c>
      <c r="N133" s="60">
        <f>((I133/(8*6))*(11*6))</f>
        <v>3300000</v>
      </c>
      <c r="O133" s="60">
        <f>((J133/(8*7))*(11*7))</f>
        <v>3850000</v>
      </c>
      <c r="P133" s="63">
        <f t="shared" ref="P133:P138" si="89">SUM(M133:O133)</f>
        <v>9350000</v>
      </c>
      <c r="Q133" s="60"/>
      <c r="R133" s="60">
        <f>((M133/(11*4))*(14*4))</f>
        <v>2800000</v>
      </c>
      <c r="S133" s="60">
        <f>((N133/(11*6))*(14*6))</f>
        <v>4200000</v>
      </c>
      <c r="T133" s="60">
        <f>((O133/(11*7))*(14*7))</f>
        <v>4900000</v>
      </c>
      <c r="U133" s="61">
        <f t="shared" ref="U133:U138" si="90">SUM(R133:T133)</f>
        <v>11900000</v>
      </c>
      <c r="V133" s="61"/>
      <c r="W133" s="60">
        <f>((R133/(14*4))*(17*4))</f>
        <v>3400000</v>
      </c>
      <c r="X133" s="60">
        <f>((S133/(14*6))*(17*6))</f>
        <v>5100000</v>
      </c>
      <c r="Y133" s="60">
        <f>((T133/(14*7))*(17*7))</f>
        <v>5950000</v>
      </c>
      <c r="Z133" s="61">
        <f t="shared" ref="Z133:Z138" si="91">SUM(W133:Y133)</f>
        <v>14450000</v>
      </c>
    </row>
    <row r="134" spans="1:26" s="18" customFormat="1" hidden="1" outlineLevel="1" x14ac:dyDescent="0.3">
      <c r="A134" s="18" t="s">
        <v>10</v>
      </c>
      <c r="C134" s="60">
        <v>1400000</v>
      </c>
      <c r="D134" s="60">
        <v>2100000</v>
      </c>
      <c r="E134" s="60">
        <v>2450000</v>
      </c>
      <c r="F134" s="60">
        <v>5950000</v>
      </c>
      <c r="G134" s="60"/>
      <c r="H134" s="60">
        <f t="shared" ref="H134:H135" si="92">((C134/20)*(8*4))</f>
        <v>2240000</v>
      </c>
      <c r="I134" s="60">
        <f t="shared" ref="I134:I135" si="93">((D134/30)*(8*6))</f>
        <v>3360000</v>
      </c>
      <c r="J134" s="60">
        <f t="shared" ref="J134:J135" si="94">((E134/35)*(8*7))</f>
        <v>3920000</v>
      </c>
      <c r="K134" s="63">
        <f t="shared" si="88"/>
        <v>9520000</v>
      </c>
      <c r="L134" s="60"/>
      <c r="M134" s="60">
        <f t="shared" ref="M134:M135" si="95">((H134/(8*4))*(11*4))</f>
        <v>3080000</v>
      </c>
      <c r="N134" s="60">
        <f t="shared" ref="N134:N135" si="96">((I134/(8*6))*(11*6))</f>
        <v>4620000</v>
      </c>
      <c r="O134" s="60">
        <f t="shared" ref="O134:O135" si="97">((J134/(8*7))*(11*7))</f>
        <v>5390000</v>
      </c>
      <c r="P134" s="63">
        <f t="shared" si="89"/>
        <v>13090000</v>
      </c>
      <c r="Q134" s="60"/>
      <c r="R134" s="60">
        <f t="shared" ref="R134:R135" si="98">((M134/(11*4))*(14*4))</f>
        <v>3920000</v>
      </c>
      <c r="S134" s="60">
        <f t="shared" ref="S134:S135" si="99">((N134/(11*6))*(14*6))</f>
        <v>5880000</v>
      </c>
      <c r="T134" s="60">
        <f t="shared" ref="T134:T135" si="100">((O134/(11*7))*(14*7))</f>
        <v>6860000</v>
      </c>
      <c r="U134" s="61">
        <f t="shared" si="90"/>
        <v>16660000</v>
      </c>
      <c r="V134" s="61"/>
      <c r="W134" s="60">
        <f t="shared" ref="W134:W135" si="101">((R134/(14*4))*(17*4))</f>
        <v>4760000</v>
      </c>
      <c r="X134" s="60">
        <f t="shared" ref="X134:X135" si="102">((S134/(14*6))*(17*6))</f>
        <v>7140000</v>
      </c>
      <c r="Y134" s="60">
        <f t="shared" ref="Y134:Y135" si="103">((T134/(14*7))*(17*7))</f>
        <v>8330000</v>
      </c>
      <c r="Z134" s="61">
        <f t="shared" si="91"/>
        <v>20230000</v>
      </c>
    </row>
    <row r="135" spans="1:26" s="18" customFormat="1" hidden="1" outlineLevel="1" x14ac:dyDescent="0.3">
      <c r="A135" s="18" t="s">
        <v>9</v>
      </c>
      <c r="C135" s="60">
        <v>3000000</v>
      </c>
      <c r="D135" s="60">
        <v>4500000</v>
      </c>
      <c r="E135" s="60">
        <v>5250000</v>
      </c>
      <c r="F135" s="60">
        <v>12750000</v>
      </c>
      <c r="G135" s="60"/>
      <c r="H135" s="60">
        <f t="shared" si="92"/>
        <v>4800000</v>
      </c>
      <c r="I135" s="60">
        <f t="shared" si="93"/>
        <v>7200000</v>
      </c>
      <c r="J135" s="60">
        <f t="shared" si="94"/>
        <v>8400000</v>
      </c>
      <c r="K135" s="63">
        <f t="shared" si="88"/>
        <v>20400000</v>
      </c>
      <c r="L135" s="60"/>
      <c r="M135" s="60">
        <f t="shared" si="95"/>
        <v>6600000</v>
      </c>
      <c r="N135" s="60">
        <f t="shared" si="96"/>
        <v>9900000</v>
      </c>
      <c r="O135" s="60">
        <f t="shared" si="97"/>
        <v>11550000</v>
      </c>
      <c r="P135" s="63">
        <f t="shared" si="89"/>
        <v>28050000</v>
      </c>
      <c r="Q135" s="60"/>
      <c r="R135" s="60">
        <f t="shared" si="98"/>
        <v>8400000</v>
      </c>
      <c r="S135" s="60">
        <f t="shared" si="99"/>
        <v>12600000</v>
      </c>
      <c r="T135" s="60">
        <f t="shared" si="100"/>
        <v>14700000</v>
      </c>
      <c r="U135" s="61">
        <f t="shared" si="90"/>
        <v>35700000</v>
      </c>
      <c r="V135" s="61"/>
      <c r="W135" s="60">
        <f t="shared" si="101"/>
        <v>10200000</v>
      </c>
      <c r="X135" s="60">
        <f t="shared" si="102"/>
        <v>15300000</v>
      </c>
      <c r="Y135" s="60">
        <f t="shared" si="103"/>
        <v>17850000</v>
      </c>
      <c r="Z135" s="61">
        <f t="shared" si="91"/>
        <v>43350000</v>
      </c>
    </row>
    <row r="136" spans="1:26" s="18" customFormat="1" hidden="1" outlineLevel="1" x14ac:dyDescent="0.3">
      <c r="A136" s="18" t="s">
        <v>11</v>
      </c>
      <c r="C136" s="60">
        <v>2520000</v>
      </c>
      <c r="D136" s="60">
        <v>4185000</v>
      </c>
      <c r="E136" s="60">
        <v>5355000</v>
      </c>
      <c r="F136" s="60">
        <v>12060000</v>
      </c>
      <c r="G136" s="60"/>
      <c r="H136" s="60">
        <f>((C136/(20*3))*(8*4*3))</f>
        <v>4032000</v>
      </c>
      <c r="I136" s="60">
        <f>((D136/(30*3))*(8*6*3))</f>
        <v>6696000</v>
      </c>
      <c r="J136" s="60">
        <f>((E136/(35*3))*(8*7*3))</f>
        <v>8568000</v>
      </c>
      <c r="K136" s="63">
        <f t="shared" si="88"/>
        <v>19296000</v>
      </c>
      <c r="L136" s="60"/>
      <c r="M136" s="60">
        <f>((H136/(8*4*3))*(8*4*3))</f>
        <v>4032000</v>
      </c>
      <c r="N136" s="60">
        <f>((I136/(8*6*3))*(11*6*3))</f>
        <v>9207000</v>
      </c>
      <c r="O136" s="60">
        <f>((J136/(8*7*3))*(11*7*3))</f>
        <v>11781000</v>
      </c>
      <c r="P136" s="63">
        <f t="shared" si="89"/>
        <v>25020000</v>
      </c>
      <c r="Q136" s="60"/>
      <c r="R136" s="60">
        <f>((M136/(11*4))*(14*4))</f>
        <v>5131636.3636363633</v>
      </c>
      <c r="S136" s="60">
        <f>((N136/(11*6))*(14*6))</f>
        <v>11718000</v>
      </c>
      <c r="T136" s="60">
        <f>((O136/(11*7))*(14*7))</f>
        <v>14994000</v>
      </c>
      <c r="U136" s="61">
        <f t="shared" si="90"/>
        <v>31843636.363636363</v>
      </c>
      <c r="V136" s="61"/>
      <c r="W136" s="60">
        <f>((R136/(14*4))*(17*4))</f>
        <v>6231272.7272727266</v>
      </c>
      <c r="X136" s="60">
        <f>((S136/(14*6))*(17*6))</f>
        <v>14229000</v>
      </c>
      <c r="Y136" s="60">
        <f>((T136/(14*7))*(17*7))</f>
        <v>18207000</v>
      </c>
      <c r="Z136" s="61">
        <f t="shared" si="91"/>
        <v>38667272.727272727</v>
      </c>
    </row>
    <row r="137" spans="1:26" s="18" customFormat="1" hidden="1" outlineLevel="1" x14ac:dyDescent="0.3">
      <c r="A137" s="18" t="s">
        <v>12</v>
      </c>
      <c r="C137" s="60">
        <v>1938000</v>
      </c>
      <c r="D137" s="60">
        <v>3343500</v>
      </c>
      <c r="E137" s="60">
        <v>4226250</v>
      </c>
      <c r="F137" s="60">
        <v>9507750</v>
      </c>
      <c r="G137" s="60"/>
      <c r="H137" s="60">
        <f t="shared" ref="H137:H138" si="104">((C137/(20*3))*(8*4*3))</f>
        <v>3100800</v>
      </c>
      <c r="I137" s="60">
        <f t="shared" ref="I137:I138" si="105">((D137/(30*3))*(8*6*3))</f>
        <v>5349600</v>
      </c>
      <c r="J137" s="60">
        <f t="shared" ref="J137:J138" si="106">((E137/(35*3))*(8*7*3))</f>
        <v>6762000</v>
      </c>
      <c r="K137" s="63">
        <f t="shared" si="88"/>
        <v>15212400</v>
      </c>
      <c r="L137" s="60"/>
      <c r="M137" s="60">
        <f t="shared" ref="M137:M138" si="107">((H137/(8*4*3))*(8*4*3))</f>
        <v>3100800</v>
      </c>
      <c r="N137" s="60">
        <f t="shared" ref="N137:N138" si="108">((I137/(8*6*3))*(11*6*3))</f>
        <v>7355700</v>
      </c>
      <c r="O137" s="60">
        <f t="shared" ref="O137:O138" si="109">((J137/(8*7*3))*(11*7*3))</f>
        <v>9297750</v>
      </c>
      <c r="P137" s="63">
        <f t="shared" si="89"/>
        <v>19754250</v>
      </c>
      <c r="Q137" s="60"/>
      <c r="R137" s="60">
        <f t="shared" ref="R137:R138" si="110">((M137/(11*4))*(14*4))</f>
        <v>3946472.7272727275</v>
      </c>
      <c r="S137" s="60">
        <f t="shared" ref="S137:S138" si="111">((N137/(11*6))*(14*6))</f>
        <v>9361800</v>
      </c>
      <c r="T137" s="60">
        <f t="shared" ref="T137:T138" si="112">((O137/(11*7))*(14*7))</f>
        <v>11833500</v>
      </c>
      <c r="U137" s="61">
        <f t="shared" si="90"/>
        <v>25141772.727272727</v>
      </c>
      <c r="V137" s="61"/>
      <c r="W137" s="60">
        <f t="shared" ref="W137:W138" si="113">((R137/(14*4))*(17*4))</f>
        <v>4792145.4545454551</v>
      </c>
      <c r="X137" s="60">
        <f t="shared" ref="X137:X138" si="114">((S137/(14*6))*(17*6))</f>
        <v>11367900</v>
      </c>
      <c r="Y137" s="60">
        <f t="shared" ref="Y137:Y138" si="115">((T137/(14*7))*(17*7))</f>
        <v>14369250</v>
      </c>
      <c r="Z137" s="61">
        <f t="shared" si="91"/>
        <v>30529295.454545453</v>
      </c>
    </row>
    <row r="138" spans="1:26" s="18" customFormat="1" hidden="1" outlineLevel="1" x14ac:dyDescent="0.3">
      <c r="A138" s="18" t="s">
        <v>13</v>
      </c>
      <c r="C138" s="60">
        <v>810000</v>
      </c>
      <c r="D138" s="60">
        <v>2052000</v>
      </c>
      <c r="E138" s="60">
        <v>3053250</v>
      </c>
      <c r="F138" s="60">
        <v>5915250</v>
      </c>
      <c r="G138" s="60"/>
      <c r="H138" s="60">
        <f t="shared" si="104"/>
        <v>1296000</v>
      </c>
      <c r="I138" s="60">
        <f t="shared" si="105"/>
        <v>3283200</v>
      </c>
      <c r="J138" s="60">
        <f t="shared" si="106"/>
        <v>4885200</v>
      </c>
      <c r="K138" s="63">
        <f t="shared" si="88"/>
        <v>9464400</v>
      </c>
      <c r="L138" s="60"/>
      <c r="M138" s="60">
        <f t="shared" si="107"/>
        <v>1296000</v>
      </c>
      <c r="N138" s="60">
        <f t="shared" si="108"/>
        <v>4514400</v>
      </c>
      <c r="O138" s="60">
        <f t="shared" si="109"/>
        <v>6717150</v>
      </c>
      <c r="P138" s="63">
        <f t="shared" si="89"/>
        <v>12527550</v>
      </c>
      <c r="Q138" s="60"/>
      <c r="R138" s="60">
        <f t="shared" si="110"/>
        <v>1649454.5454545454</v>
      </c>
      <c r="S138" s="60">
        <f t="shared" si="111"/>
        <v>5745600</v>
      </c>
      <c r="T138" s="60">
        <f t="shared" si="112"/>
        <v>8549100</v>
      </c>
      <c r="U138" s="61">
        <f t="shared" si="90"/>
        <v>15944154.545454545</v>
      </c>
      <c r="V138" s="61"/>
      <c r="W138" s="60">
        <f t="shared" si="113"/>
        <v>2002909.0909090908</v>
      </c>
      <c r="X138" s="60">
        <f t="shared" si="114"/>
        <v>6976800</v>
      </c>
      <c r="Y138" s="60">
        <f t="shared" si="115"/>
        <v>10381050</v>
      </c>
      <c r="Z138" s="61">
        <f t="shared" si="91"/>
        <v>19360759.09090909</v>
      </c>
    </row>
    <row r="139" spans="1:26" s="18" customFormat="1" hidden="1" outlineLevel="1" x14ac:dyDescent="0.3"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1"/>
      <c r="V139" s="61"/>
      <c r="W139" s="61"/>
      <c r="X139" s="61"/>
      <c r="Y139" s="61"/>
      <c r="Z139" s="61"/>
    </row>
    <row r="140" spans="1:26" s="18" customFormat="1" hidden="1" outlineLevel="1" x14ac:dyDescent="0.3"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205">
        <v>0.1</v>
      </c>
      <c r="O140" s="205"/>
      <c r="P140" s="205"/>
      <c r="Q140" s="60"/>
      <c r="R140" s="61"/>
      <c r="S140" s="205">
        <v>0.1</v>
      </c>
      <c r="T140" s="205"/>
      <c r="U140" s="205"/>
      <c r="V140" s="61"/>
      <c r="W140" s="61"/>
      <c r="X140" s="205">
        <v>0.1</v>
      </c>
      <c r="Y140" s="205"/>
      <c r="Z140" s="205"/>
    </row>
    <row r="141" spans="1:26" s="18" customFormat="1" ht="17.25" hidden="1" outlineLevel="1" x14ac:dyDescent="0.35">
      <c r="A141" s="21" t="s">
        <v>39</v>
      </c>
      <c r="B141" s="22"/>
      <c r="C141" s="60"/>
      <c r="D141" s="60" t="s">
        <v>55</v>
      </c>
      <c r="E141" s="60" t="s">
        <v>56</v>
      </c>
      <c r="F141" s="60" t="s">
        <v>57</v>
      </c>
      <c r="G141" s="60"/>
      <c r="H141" s="60"/>
      <c r="I141" s="60" t="s">
        <v>55</v>
      </c>
      <c r="J141" s="60" t="s">
        <v>56</v>
      </c>
      <c r="K141" s="60" t="s">
        <v>57</v>
      </c>
      <c r="L141" s="60"/>
      <c r="M141" s="60"/>
      <c r="N141" s="60" t="s">
        <v>55</v>
      </c>
      <c r="O141" s="60" t="s">
        <v>56</v>
      </c>
      <c r="P141" s="60" t="s">
        <v>57</v>
      </c>
      <c r="Q141" s="60"/>
      <c r="R141" s="61"/>
      <c r="S141" s="60" t="s">
        <v>55</v>
      </c>
      <c r="T141" s="60" t="s">
        <v>56</v>
      </c>
      <c r="U141" s="60" t="s">
        <v>57</v>
      </c>
      <c r="V141" s="61"/>
      <c r="W141" s="61"/>
      <c r="X141" s="60" t="s">
        <v>55</v>
      </c>
      <c r="Y141" s="60" t="s">
        <v>56</v>
      </c>
      <c r="Z141" s="60" t="s">
        <v>57</v>
      </c>
    </row>
    <row r="142" spans="1:26" s="18" customFormat="1" hidden="1" outlineLevel="1" x14ac:dyDescent="0.3">
      <c r="A142" s="23" t="s">
        <v>40</v>
      </c>
      <c r="B142" s="23"/>
      <c r="C142" s="60"/>
      <c r="D142" s="60">
        <v>150000</v>
      </c>
      <c r="E142" s="60">
        <v>14</v>
      </c>
      <c r="F142" s="60">
        <f>D142*E142*12</f>
        <v>25200000</v>
      </c>
      <c r="G142" s="60"/>
      <c r="H142" s="60"/>
      <c r="I142" s="60">
        <v>150000</v>
      </c>
      <c r="J142" s="60">
        <v>16</v>
      </c>
      <c r="K142" s="60">
        <f>I142*J142*12</f>
        <v>28800000</v>
      </c>
      <c r="L142" s="60"/>
      <c r="M142" s="60"/>
      <c r="N142" s="60">
        <f t="shared" ref="N142:N150" si="116">$I142*(1+$N$202)</f>
        <v>165000</v>
      </c>
      <c r="O142" s="60">
        <v>18</v>
      </c>
      <c r="P142" s="60">
        <f>N142*O142*12</f>
        <v>35640000</v>
      </c>
      <c r="Q142" s="60"/>
      <c r="R142" s="61"/>
      <c r="S142" s="60">
        <v>165000</v>
      </c>
      <c r="T142" s="60">
        <v>20</v>
      </c>
      <c r="U142" s="60">
        <f>S142*T142*12</f>
        <v>39600000</v>
      </c>
      <c r="V142" s="61"/>
      <c r="W142" s="61"/>
      <c r="X142" s="60">
        <f t="shared" ref="X142:X150" si="117">S142*($X$202+1)</f>
        <v>181500.00000000003</v>
      </c>
      <c r="Y142" s="60">
        <v>22</v>
      </c>
      <c r="Z142" s="60">
        <f>X142*Y142*12</f>
        <v>47916000.000000007</v>
      </c>
    </row>
    <row r="143" spans="1:26" s="18" customFormat="1" hidden="1" outlineLevel="1" x14ac:dyDescent="0.3">
      <c r="A143" s="23" t="s">
        <v>41</v>
      </c>
      <c r="B143" s="23"/>
      <c r="C143" s="60"/>
      <c r="D143" s="60">
        <v>350000</v>
      </c>
      <c r="E143" s="60">
        <v>4</v>
      </c>
      <c r="F143" s="60">
        <f t="shared" ref="F143:F150" si="118">D143*E143*12</f>
        <v>16800000</v>
      </c>
      <c r="G143" s="60"/>
      <c r="H143" s="60"/>
      <c r="I143" s="60">
        <v>350000</v>
      </c>
      <c r="J143" s="60">
        <v>6</v>
      </c>
      <c r="K143" s="60">
        <f t="shared" ref="K143:K150" si="119">I143*J143*12</f>
        <v>25200000</v>
      </c>
      <c r="L143" s="60"/>
      <c r="M143" s="60"/>
      <c r="N143" s="60">
        <f t="shared" si="116"/>
        <v>385000.00000000006</v>
      </c>
      <c r="O143" s="60">
        <v>6</v>
      </c>
      <c r="P143" s="60">
        <f t="shared" ref="P143:P150" si="120">N143*O143*12</f>
        <v>27720000.000000007</v>
      </c>
      <c r="Q143" s="60"/>
      <c r="R143" s="61"/>
      <c r="S143" s="60">
        <v>385000.00000000006</v>
      </c>
      <c r="T143" s="60">
        <v>7</v>
      </c>
      <c r="U143" s="60">
        <f t="shared" ref="U143:U150" si="121">S143*T143*12</f>
        <v>32340000.000000007</v>
      </c>
      <c r="V143" s="61"/>
      <c r="W143" s="61"/>
      <c r="X143" s="60">
        <f t="shared" si="117"/>
        <v>423500.00000000012</v>
      </c>
      <c r="Y143" s="60">
        <v>7</v>
      </c>
      <c r="Z143" s="60">
        <f t="shared" ref="Z143:Z150" si="122">X143*Y143*12</f>
        <v>35574000.000000015</v>
      </c>
    </row>
    <row r="144" spans="1:26" s="18" customFormat="1" hidden="1" outlineLevel="1" x14ac:dyDescent="0.3">
      <c r="A144" s="23" t="s">
        <v>42</v>
      </c>
      <c r="B144" s="23"/>
      <c r="C144" s="60"/>
      <c r="D144" s="60">
        <v>500000</v>
      </c>
      <c r="E144" s="60">
        <v>1</v>
      </c>
      <c r="F144" s="60">
        <f t="shared" si="118"/>
        <v>6000000</v>
      </c>
      <c r="G144" s="60"/>
      <c r="H144" s="60"/>
      <c r="I144" s="60">
        <v>500000</v>
      </c>
      <c r="J144" s="60">
        <v>1</v>
      </c>
      <c r="K144" s="60">
        <f t="shared" si="119"/>
        <v>6000000</v>
      </c>
      <c r="L144" s="60"/>
      <c r="M144" s="60"/>
      <c r="N144" s="60">
        <f t="shared" si="116"/>
        <v>550000</v>
      </c>
      <c r="O144" s="60">
        <v>1</v>
      </c>
      <c r="P144" s="60">
        <f t="shared" si="120"/>
        <v>6600000</v>
      </c>
      <c r="Q144" s="60"/>
      <c r="R144" s="61"/>
      <c r="S144" s="60">
        <v>550000</v>
      </c>
      <c r="T144" s="60">
        <v>1</v>
      </c>
      <c r="U144" s="60">
        <f t="shared" si="121"/>
        <v>6600000</v>
      </c>
      <c r="V144" s="61"/>
      <c r="W144" s="61"/>
      <c r="X144" s="60">
        <f t="shared" si="117"/>
        <v>605000</v>
      </c>
      <c r="Y144" s="60">
        <v>1</v>
      </c>
      <c r="Z144" s="60">
        <f t="shared" si="122"/>
        <v>7260000</v>
      </c>
    </row>
    <row r="145" spans="1:26" s="18" customFormat="1" hidden="1" outlineLevel="1" x14ac:dyDescent="0.3">
      <c r="A145" s="23" t="s">
        <v>43</v>
      </c>
      <c r="B145" s="23"/>
      <c r="C145" s="60"/>
      <c r="D145" s="60">
        <v>400000</v>
      </c>
      <c r="E145" s="60">
        <v>1</v>
      </c>
      <c r="F145" s="60">
        <f t="shared" si="118"/>
        <v>4800000</v>
      </c>
      <c r="G145" s="60"/>
      <c r="H145" s="60"/>
      <c r="I145" s="60">
        <v>400000</v>
      </c>
      <c r="J145" s="60">
        <v>1</v>
      </c>
      <c r="K145" s="60">
        <f t="shared" si="119"/>
        <v>4800000</v>
      </c>
      <c r="L145" s="60"/>
      <c r="M145" s="60"/>
      <c r="N145" s="60">
        <f t="shared" si="116"/>
        <v>440000.00000000006</v>
      </c>
      <c r="O145" s="60">
        <v>1</v>
      </c>
      <c r="P145" s="60">
        <f t="shared" si="120"/>
        <v>5280000.0000000009</v>
      </c>
      <c r="Q145" s="60"/>
      <c r="R145" s="61"/>
      <c r="S145" s="60">
        <v>440000.00000000006</v>
      </c>
      <c r="T145" s="60">
        <v>1</v>
      </c>
      <c r="U145" s="60">
        <f t="shared" si="121"/>
        <v>5280000.0000000009</v>
      </c>
      <c r="V145" s="61"/>
      <c r="W145" s="61"/>
      <c r="X145" s="60">
        <f t="shared" si="117"/>
        <v>484000.00000000012</v>
      </c>
      <c r="Y145" s="60">
        <v>1</v>
      </c>
      <c r="Z145" s="60">
        <f t="shared" si="122"/>
        <v>5808000.0000000019</v>
      </c>
    </row>
    <row r="146" spans="1:26" s="18" customFormat="1" hidden="1" outlineLevel="1" x14ac:dyDescent="0.3">
      <c r="A146" s="18" t="s">
        <v>44</v>
      </c>
      <c r="C146" s="60"/>
      <c r="D146" s="60">
        <v>300000</v>
      </c>
      <c r="E146" s="60">
        <v>1</v>
      </c>
      <c r="F146" s="60">
        <f t="shared" si="118"/>
        <v>3600000</v>
      </c>
      <c r="G146" s="60"/>
      <c r="H146" s="60"/>
      <c r="I146" s="60">
        <v>300000</v>
      </c>
      <c r="J146" s="60">
        <v>1</v>
      </c>
      <c r="K146" s="60">
        <f t="shared" si="119"/>
        <v>3600000</v>
      </c>
      <c r="L146" s="60"/>
      <c r="M146" s="60"/>
      <c r="N146" s="60">
        <f t="shared" si="116"/>
        <v>330000</v>
      </c>
      <c r="O146" s="60">
        <v>1</v>
      </c>
      <c r="P146" s="60">
        <f t="shared" si="120"/>
        <v>3960000</v>
      </c>
      <c r="Q146" s="60"/>
      <c r="R146" s="61"/>
      <c r="S146" s="60">
        <v>330000</v>
      </c>
      <c r="T146" s="60">
        <v>1</v>
      </c>
      <c r="U146" s="60">
        <f t="shared" si="121"/>
        <v>3960000</v>
      </c>
      <c r="V146" s="61"/>
      <c r="W146" s="61"/>
      <c r="X146" s="60">
        <f t="shared" si="117"/>
        <v>363000.00000000006</v>
      </c>
      <c r="Y146" s="60">
        <v>1</v>
      </c>
      <c r="Z146" s="60">
        <f t="shared" si="122"/>
        <v>4356000.0000000009</v>
      </c>
    </row>
    <row r="147" spans="1:26" s="18" customFormat="1" hidden="1" outlineLevel="1" x14ac:dyDescent="0.3">
      <c r="A147" s="18" t="s">
        <v>45</v>
      </c>
      <c r="C147" s="60"/>
      <c r="D147" s="60">
        <v>300000</v>
      </c>
      <c r="E147" s="60">
        <v>1</v>
      </c>
      <c r="F147" s="60">
        <f t="shared" si="118"/>
        <v>3600000</v>
      </c>
      <c r="G147" s="60"/>
      <c r="H147" s="60"/>
      <c r="I147" s="60">
        <v>300000</v>
      </c>
      <c r="J147" s="60">
        <v>1</v>
      </c>
      <c r="K147" s="60">
        <f t="shared" si="119"/>
        <v>3600000</v>
      </c>
      <c r="L147" s="60"/>
      <c r="M147" s="60"/>
      <c r="N147" s="60">
        <f t="shared" si="116"/>
        <v>330000</v>
      </c>
      <c r="O147" s="60">
        <v>1</v>
      </c>
      <c r="P147" s="60">
        <f t="shared" si="120"/>
        <v>3960000</v>
      </c>
      <c r="Q147" s="60"/>
      <c r="R147" s="61"/>
      <c r="S147" s="60">
        <v>330000</v>
      </c>
      <c r="T147" s="60">
        <v>1</v>
      </c>
      <c r="U147" s="60">
        <f t="shared" si="121"/>
        <v>3960000</v>
      </c>
      <c r="V147" s="61"/>
      <c r="W147" s="61"/>
      <c r="X147" s="60">
        <f t="shared" si="117"/>
        <v>363000.00000000006</v>
      </c>
      <c r="Y147" s="60">
        <v>1</v>
      </c>
      <c r="Z147" s="60">
        <f t="shared" si="122"/>
        <v>4356000.0000000009</v>
      </c>
    </row>
    <row r="148" spans="1:26" s="18" customFormat="1" hidden="1" outlineLevel="1" x14ac:dyDescent="0.3">
      <c r="A148" s="18" t="s">
        <v>46</v>
      </c>
      <c r="C148" s="60"/>
      <c r="D148" s="60">
        <v>300000</v>
      </c>
      <c r="E148" s="60">
        <v>1</v>
      </c>
      <c r="F148" s="60">
        <f t="shared" si="118"/>
        <v>3600000</v>
      </c>
      <c r="G148" s="60"/>
      <c r="H148" s="60"/>
      <c r="I148" s="60">
        <v>300000</v>
      </c>
      <c r="J148" s="60">
        <v>1</v>
      </c>
      <c r="K148" s="60">
        <f t="shared" si="119"/>
        <v>3600000</v>
      </c>
      <c r="L148" s="60"/>
      <c r="M148" s="60"/>
      <c r="N148" s="60">
        <f t="shared" si="116"/>
        <v>330000</v>
      </c>
      <c r="O148" s="60">
        <v>1</v>
      </c>
      <c r="P148" s="60">
        <f t="shared" si="120"/>
        <v>3960000</v>
      </c>
      <c r="Q148" s="60"/>
      <c r="R148" s="61"/>
      <c r="S148" s="60">
        <v>330000</v>
      </c>
      <c r="T148" s="60">
        <v>1</v>
      </c>
      <c r="U148" s="60">
        <f t="shared" si="121"/>
        <v>3960000</v>
      </c>
      <c r="V148" s="61"/>
      <c r="W148" s="61"/>
      <c r="X148" s="60">
        <f t="shared" si="117"/>
        <v>363000.00000000006</v>
      </c>
      <c r="Y148" s="60">
        <v>1</v>
      </c>
      <c r="Z148" s="60">
        <f t="shared" si="122"/>
        <v>4356000.0000000009</v>
      </c>
    </row>
    <row r="149" spans="1:26" s="18" customFormat="1" hidden="1" outlineLevel="1" x14ac:dyDescent="0.3">
      <c r="A149" s="23" t="s">
        <v>48</v>
      </c>
      <c r="B149" s="23"/>
      <c r="C149" s="60"/>
      <c r="D149" s="60">
        <v>30000</v>
      </c>
      <c r="E149" s="60">
        <v>10</v>
      </c>
      <c r="F149" s="60">
        <f t="shared" si="118"/>
        <v>3600000</v>
      </c>
      <c r="G149" s="60"/>
      <c r="H149" s="60"/>
      <c r="I149" s="60">
        <v>30000</v>
      </c>
      <c r="J149" s="60">
        <v>15</v>
      </c>
      <c r="K149" s="60">
        <f t="shared" si="119"/>
        <v>5400000</v>
      </c>
      <c r="L149" s="60"/>
      <c r="M149" s="60"/>
      <c r="N149" s="60">
        <f t="shared" si="116"/>
        <v>33000</v>
      </c>
      <c r="O149" s="60">
        <v>20</v>
      </c>
      <c r="P149" s="60">
        <f t="shared" si="120"/>
        <v>7920000</v>
      </c>
      <c r="Q149" s="60"/>
      <c r="R149" s="61"/>
      <c r="S149" s="60">
        <v>33000</v>
      </c>
      <c r="T149" s="60">
        <v>20</v>
      </c>
      <c r="U149" s="60">
        <f t="shared" si="121"/>
        <v>7920000</v>
      </c>
      <c r="V149" s="61"/>
      <c r="W149" s="61"/>
      <c r="X149" s="60">
        <f t="shared" si="117"/>
        <v>36300</v>
      </c>
      <c r="Y149" s="60">
        <v>20</v>
      </c>
      <c r="Z149" s="60">
        <f t="shared" si="122"/>
        <v>8712000</v>
      </c>
    </row>
    <row r="150" spans="1:26" s="18" customFormat="1" hidden="1" outlineLevel="1" x14ac:dyDescent="0.3">
      <c r="A150" s="23" t="s">
        <v>47</v>
      </c>
      <c r="B150" s="23"/>
      <c r="C150" s="60"/>
      <c r="D150" s="60">
        <v>60000</v>
      </c>
      <c r="E150" s="60">
        <v>5</v>
      </c>
      <c r="F150" s="60">
        <f t="shared" si="118"/>
        <v>3600000</v>
      </c>
      <c r="G150" s="60"/>
      <c r="H150" s="60"/>
      <c r="I150" s="60">
        <v>60000</v>
      </c>
      <c r="J150" s="60">
        <v>8</v>
      </c>
      <c r="K150" s="60">
        <f t="shared" si="119"/>
        <v>5760000</v>
      </c>
      <c r="L150" s="60"/>
      <c r="M150" s="60"/>
      <c r="N150" s="60">
        <f t="shared" si="116"/>
        <v>66000</v>
      </c>
      <c r="O150" s="60">
        <v>8</v>
      </c>
      <c r="P150" s="60">
        <f t="shared" si="120"/>
        <v>6336000</v>
      </c>
      <c r="Q150" s="60"/>
      <c r="R150" s="61"/>
      <c r="S150" s="60">
        <v>66000</v>
      </c>
      <c r="T150" s="60">
        <v>9</v>
      </c>
      <c r="U150" s="60">
        <f t="shared" si="121"/>
        <v>7128000</v>
      </c>
      <c r="V150" s="61"/>
      <c r="W150" s="61"/>
      <c r="X150" s="60">
        <f t="shared" si="117"/>
        <v>72600</v>
      </c>
      <c r="Y150" s="60">
        <v>9</v>
      </c>
      <c r="Z150" s="60">
        <f t="shared" si="122"/>
        <v>7840800</v>
      </c>
    </row>
    <row r="151" spans="1:26" s="18" customFormat="1" hidden="1" outlineLevel="1" x14ac:dyDescent="0.3">
      <c r="A151" s="18" t="s">
        <v>49</v>
      </c>
      <c r="C151" s="60"/>
      <c r="D151" s="60">
        <v>200000</v>
      </c>
      <c r="E151" s="60"/>
      <c r="F151" s="60">
        <f>D151*12</f>
        <v>2400000</v>
      </c>
      <c r="G151" s="60"/>
      <c r="H151" s="60"/>
      <c r="I151" s="60">
        <v>300000</v>
      </c>
      <c r="J151" s="60"/>
      <c r="K151" s="60">
        <f>I151*12</f>
        <v>3600000</v>
      </c>
      <c r="L151" s="60"/>
      <c r="M151" s="60"/>
      <c r="N151" s="60"/>
      <c r="O151" s="60"/>
      <c r="P151" s="60">
        <f>N151*12</f>
        <v>0</v>
      </c>
      <c r="Q151" s="60"/>
      <c r="R151" s="61"/>
      <c r="S151" s="60"/>
      <c r="T151" s="60"/>
      <c r="U151" s="60">
        <f>S151*12</f>
        <v>0</v>
      </c>
      <c r="V151" s="61"/>
      <c r="W151" s="61"/>
      <c r="X151" s="60"/>
      <c r="Y151" s="60"/>
      <c r="Z151" s="60">
        <f>X151*12</f>
        <v>0</v>
      </c>
    </row>
    <row r="152" spans="1:26" s="18" customFormat="1" hidden="1" outlineLevel="1" x14ac:dyDescent="0.3">
      <c r="A152" s="18" t="s">
        <v>50</v>
      </c>
      <c r="C152" s="60"/>
      <c r="D152" s="60">
        <v>100000</v>
      </c>
      <c r="E152" s="60"/>
      <c r="F152" s="60">
        <f>D152*12</f>
        <v>1200000</v>
      </c>
      <c r="G152" s="60"/>
      <c r="H152" s="60"/>
      <c r="I152" s="60">
        <v>100000</v>
      </c>
      <c r="J152" s="60"/>
      <c r="K152" s="60">
        <f>I152*12</f>
        <v>1200000</v>
      </c>
      <c r="L152" s="60"/>
      <c r="M152" s="60"/>
      <c r="N152" s="60">
        <v>100000</v>
      </c>
      <c r="O152" s="60"/>
      <c r="P152" s="60">
        <f>N152*12</f>
        <v>1200000</v>
      </c>
      <c r="Q152" s="60"/>
      <c r="R152" s="61"/>
      <c r="S152" s="60">
        <v>100000</v>
      </c>
      <c r="T152" s="60"/>
      <c r="U152" s="60">
        <f>S152*12</f>
        <v>1200000</v>
      </c>
      <c r="V152" s="61"/>
      <c r="W152" s="61"/>
      <c r="X152" s="60">
        <v>100000</v>
      </c>
      <c r="Y152" s="60"/>
      <c r="Z152" s="60">
        <f>X152*12</f>
        <v>1200000</v>
      </c>
    </row>
    <row r="153" spans="1:26" s="18" customFormat="1" ht="17.25" hidden="1" outlineLevel="1" thickBot="1" x14ac:dyDescent="0.35">
      <c r="C153" s="60"/>
      <c r="D153" s="60"/>
      <c r="E153" s="60"/>
      <c r="F153" s="62">
        <f>SUM(F142:F152)</f>
        <v>74400000</v>
      </c>
      <c r="G153" s="60"/>
      <c r="H153" s="60"/>
      <c r="I153" s="60"/>
      <c r="J153" s="60"/>
      <c r="K153" s="62">
        <f>SUM(K142:K152)</f>
        <v>91560000</v>
      </c>
      <c r="L153" s="60"/>
      <c r="M153" s="60"/>
      <c r="N153" s="60"/>
      <c r="O153" s="60"/>
      <c r="P153" s="62">
        <f>SUM(P142:P152)</f>
        <v>102576000</v>
      </c>
      <c r="Q153" s="60"/>
      <c r="R153" s="61"/>
      <c r="S153" s="60"/>
      <c r="T153" s="60"/>
      <c r="U153" s="62">
        <f>SUM(U142:U152)</f>
        <v>111948000</v>
      </c>
      <c r="V153" s="61"/>
      <c r="W153" s="61"/>
      <c r="X153" s="60"/>
      <c r="Y153" s="60"/>
      <c r="Z153" s="62">
        <f>SUM(Z142:Z152)</f>
        <v>127378800.00000003</v>
      </c>
    </row>
    <row r="154" spans="1:26" s="18" customFormat="1" ht="17.25" hidden="1" outlineLevel="1" thickTop="1" x14ac:dyDescent="0.3">
      <c r="A154" s="18" t="s">
        <v>51</v>
      </c>
      <c r="C154" s="60"/>
      <c r="D154" s="60">
        <f>SUM(D142:D152)*0.0145</f>
        <v>39005</v>
      </c>
      <c r="E154" s="60"/>
      <c r="F154" s="60">
        <f>D154*12</f>
        <v>468060</v>
      </c>
      <c r="G154" s="60"/>
      <c r="H154" s="60"/>
      <c r="I154" s="60">
        <f>SUM($I$204:$I$214)*0.0145</f>
        <v>40455</v>
      </c>
      <c r="J154" s="60"/>
      <c r="K154" s="60">
        <f>I154*12</f>
        <v>485460</v>
      </c>
      <c r="L154" s="60"/>
      <c r="M154" s="60"/>
      <c r="N154" s="60">
        <f>SUM(N142:N152)*0.0145</f>
        <v>39570.5</v>
      </c>
      <c r="O154" s="60"/>
      <c r="P154" s="60">
        <f>N154*12</f>
        <v>474846</v>
      </c>
      <c r="Q154" s="60"/>
      <c r="R154" s="61"/>
      <c r="S154" s="60">
        <f>SUM(S142:S152)*0.0145</f>
        <v>39570.5</v>
      </c>
      <c r="T154" s="60"/>
      <c r="U154" s="60">
        <f>S154*12</f>
        <v>474846</v>
      </c>
      <c r="V154" s="61"/>
      <c r="W154" s="61"/>
      <c r="X154" s="60">
        <f>SUM(X142:X152)*0.0145</f>
        <v>43382.55</v>
      </c>
      <c r="Y154" s="60"/>
      <c r="Z154" s="60">
        <f>X154*12</f>
        <v>520590.60000000003</v>
      </c>
    </row>
    <row r="155" spans="1:26" s="18" customFormat="1" hidden="1" outlineLevel="1" x14ac:dyDescent="0.3">
      <c r="A155" s="24" t="str">
        <f>"-House"</f>
        <v>-House</v>
      </c>
      <c r="B155" s="24"/>
      <c r="C155" s="60"/>
      <c r="D155" s="60">
        <f>SUM(D142:D152)*0.0105</f>
        <v>28245</v>
      </c>
      <c r="E155" s="60"/>
      <c r="F155" s="60">
        <f t="shared" ref="F155" si="123">D155*12</f>
        <v>338940</v>
      </c>
      <c r="G155" s="60"/>
      <c r="H155" s="60"/>
      <c r="I155" s="60">
        <f>SUM($I$204:$I$214)*0.0105</f>
        <v>29295</v>
      </c>
      <c r="J155" s="60"/>
      <c r="K155" s="60">
        <f t="shared" ref="K155" si="124">I155*12</f>
        <v>351540</v>
      </c>
      <c r="L155" s="60"/>
      <c r="M155" s="60"/>
      <c r="N155" s="60">
        <f>SUM(N142:N152)*0.0105</f>
        <v>28654.5</v>
      </c>
      <c r="O155" s="60"/>
      <c r="P155" s="60">
        <f t="shared" ref="P155" si="125">N155*12</f>
        <v>343854</v>
      </c>
      <c r="Q155" s="60"/>
      <c r="R155" s="61"/>
      <c r="S155" s="60">
        <f>SUM(S142:S152)*0.0105</f>
        <v>28654.5</v>
      </c>
      <c r="T155" s="60"/>
      <c r="U155" s="60">
        <f t="shared" ref="U155" si="126">S155*12</f>
        <v>343854</v>
      </c>
      <c r="V155" s="61"/>
      <c r="W155" s="61"/>
      <c r="X155" s="60">
        <f>SUM(X142:X152)*0.0105</f>
        <v>31414.95</v>
      </c>
      <c r="Y155" s="60"/>
      <c r="Z155" s="60">
        <f t="shared" ref="Z155" si="127">X155*12</f>
        <v>376979.4</v>
      </c>
    </row>
    <row r="156" spans="1:26" s="18" customFormat="1" hidden="1" outlineLevel="1" x14ac:dyDescent="0.3">
      <c r="A156" s="24" t="str">
        <f>"-Transport"</f>
        <v>-Transport</v>
      </c>
      <c r="B156" s="24"/>
      <c r="C156" s="60"/>
      <c r="D156" s="60">
        <f>SUM(D142:D152)*0.0175</f>
        <v>47075.000000000007</v>
      </c>
      <c r="E156" s="60"/>
      <c r="F156" s="60">
        <f>D156*12</f>
        <v>564900.00000000012</v>
      </c>
      <c r="G156" s="60"/>
      <c r="H156" s="60"/>
      <c r="I156" s="60">
        <f>SUM($I$204:$I$214)*0.0175</f>
        <v>48825.000000000007</v>
      </c>
      <c r="J156" s="60"/>
      <c r="K156" s="60">
        <f>I156*12</f>
        <v>585900.00000000012</v>
      </c>
      <c r="L156" s="60"/>
      <c r="M156" s="60"/>
      <c r="N156" s="60">
        <f>SUM(N142:N152)*0.0175</f>
        <v>47757.500000000007</v>
      </c>
      <c r="O156" s="60"/>
      <c r="P156" s="60">
        <f>N156*12</f>
        <v>573090.00000000012</v>
      </c>
      <c r="Q156" s="60"/>
      <c r="R156" s="61"/>
      <c r="S156" s="60">
        <f>SUM(S142:S152)*0.0175</f>
        <v>47757.500000000007</v>
      </c>
      <c r="T156" s="60"/>
      <c r="U156" s="60">
        <f>S156*12</f>
        <v>573090.00000000012</v>
      </c>
      <c r="V156" s="61"/>
      <c r="W156" s="61"/>
      <c r="X156" s="60">
        <f>SUM(X142:X152)*0.0175</f>
        <v>52358.250000000007</v>
      </c>
      <c r="Y156" s="60"/>
      <c r="Z156" s="60">
        <f>X156*12</f>
        <v>628299.00000000012</v>
      </c>
    </row>
    <row r="157" spans="1:26" s="18" customFormat="1" hidden="1" outlineLevel="1" x14ac:dyDescent="0.3">
      <c r="A157" s="18" t="s">
        <v>52</v>
      </c>
      <c r="C157" s="60"/>
      <c r="D157" s="60">
        <v>80000</v>
      </c>
      <c r="E157" s="60">
        <v>1</v>
      </c>
      <c r="F157" s="60">
        <f>D157*12*E157</f>
        <v>960000</v>
      </c>
      <c r="G157" s="60"/>
      <c r="H157" s="60"/>
      <c r="I157" s="60">
        <v>80000</v>
      </c>
      <c r="J157" s="60">
        <v>1</v>
      </c>
      <c r="K157" s="60">
        <f>I157*12*J157</f>
        <v>960000</v>
      </c>
      <c r="L157" s="60"/>
      <c r="M157" s="60"/>
      <c r="N157" s="60">
        <v>165000</v>
      </c>
      <c r="O157" s="60">
        <v>1</v>
      </c>
      <c r="P157" s="60">
        <f>N157*12*O157</f>
        <v>1980000</v>
      </c>
      <c r="Q157" s="60"/>
      <c r="R157" s="61"/>
      <c r="S157" s="60">
        <v>165000</v>
      </c>
      <c r="T157" s="60">
        <v>1</v>
      </c>
      <c r="U157" s="60">
        <f>S157*12*T157</f>
        <v>1980000</v>
      </c>
      <c r="V157" s="61"/>
      <c r="W157" s="61"/>
      <c r="X157" s="60">
        <v>181500</v>
      </c>
      <c r="Y157" s="60">
        <v>1</v>
      </c>
      <c r="Z157" s="60">
        <f>X157*12*Y157</f>
        <v>2178000</v>
      </c>
    </row>
    <row r="158" spans="1:26" s="18" customFormat="1" hidden="1" outlineLevel="1" x14ac:dyDescent="0.3">
      <c r="A158" s="18" t="s">
        <v>53</v>
      </c>
      <c r="C158" s="60"/>
      <c r="D158" s="60">
        <v>60000</v>
      </c>
      <c r="E158" s="60">
        <v>1</v>
      </c>
      <c r="F158" s="60">
        <f t="shared" ref="F158:F159" si="128">D158*12*E158</f>
        <v>720000</v>
      </c>
      <c r="G158" s="60"/>
      <c r="H158" s="60"/>
      <c r="I158" s="60">
        <v>60000</v>
      </c>
      <c r="J158" s="60">
        <v>1</v>
      </c>
      <c r="K158" s="60">
        <f t="shared" ref="K158:K159" si="129">I158*12*J158</f>
        <v>720000</v>
      </c>
      <c r="L158" s="60"/>
      <c r="M158" s="60"/>
      <c r="N158" s="60">
        <v>77000</v>
      </c>
      <c r="O158" s="60">
        <v>1</v>
      </c>
      <c r="P158" s="60">
        <f t="shared" ref="P158:P159" si="130">N158*12*O158</f>
        <v>924000</v>
      </c>
      <c r="Q158" s="60"/>
      <c r="R158" s="61"/>
      <c r="S158" s="60">
        <v>77000</v>
      </c>
      <c r="T158" s="60">
        <v>1</v>
      </c>
      <c r="U158" s="60">
        <f t="shared" ref="U158:U159" si="131">S158*12*T158</f>
        <v>924000</v>
      </c>
      <c r="V158" s="61"/>
      <c r="W158" s="61"/>
      <c r="X158" s="60">
        <v>84700</v>
      </c>
      <c r="Y158" s="60">
        <v>1</v>
      </c>
      <c r="Z158" s="60">
        <f t="shared" ref="Z158:Z159" si="132">X158*12*Y158</f>
        <v>1016400</v>
      </c>
    </row>
    <row r="159" spans="1:26" s="18" customFormat="1" hidden="1" outlineLevel="1" x14ac:dyDescent="0.3">
      <c r="A159" s="18" t="s">
        <v>54</v>
      </c>
      <c r="C159" s="60"/>
      <c r="D159" s="60">
        <v>30000</v>
      </c>
      <c r="E159" s="60">
        <v>10</v>
      </c>
      <c r="F159" s="60">
        <f t="shared" si="128"/>
        <v>3600000</v>
      </c>
      <c r="G159" s="60"/>
      <c r="H159" s="60"/>
      <c r="I159" s="60">
        <v>6000</v>
      </c>
      <c r="J159" s="60">
        <v>10</v>
      </c>
      <c r="K159" s="60">
        <f t="shared" si="129"/>
        <v>720000</v>
      </c>
      <c r="L159" s="60"/>
      <c r="M159" s="60"/>
      <c r="N159" s="60"/>
      <c r="O159" s="60"/>
      <c r="P159" s="60">
        <f t="shared" si="130"/>
        <v>0</v>
      </c>
      <c r="Q159" s="60"/>
      <c r="R159" s="61"/>
      <c r="S159" s="60"/>
      <c r="T159" s="60"/>
      <c r="U159" s="60">
        <f t="shared" si="131"/>
        <v>0</v>
      </c>
      <c r="V159" s="61"/>
      <c r="W159" s="61"/>
      <c r="X159" s="60"/>
      <c r="Y159" s="60"/>
      <c r="Z159" s="60">
        <f t="shared" si="132"/>
        <v>0</v>
      </c>
    </row>
    <row r="160" spans="1:26" s="18" customFormat="1" ht="17.25" hidden="1" outlineLevel="1" thickBot="1" x14ac:dyDescent="0.35">
      <c r="C160" s="60"/>
      <c r="D160" s="60"/>
      <c r="E160" s="60"/>
      <c r="F160" s="62">
        <f>SUM(F154:F159)+F153</f>
        <v>81051900</v>
      </c>
      <c r="G160" s="60"/>
      <c r="H160" s="60"/>
      <c r="I160" s="60"/>
      <c r="J160" s="60"/>
      <c r="K160" s="62">
        <f>SUM(K154:K159)+K153</f>
        <v>95382900</v>
      </c>
      <c r="L160" s="60"/>
      <c r="M160" s="60"/>
      <c r="N160" s="60"/>
      <c r="O160" s="60"/>
      <c r="P160" s="62">
        <f>SUM(P154:P159)+P153</f>
        <v>106871790</v>
      </c>
      <c r="Q160" s="60"/>
      <c r="R160" s="61"/>
      <c r="S160" s="60"/>
      <c r="T160" s="60"/>
      <c r="U160" s="62">
        <f>SUM(U154:U159)+U153</f>
        <v>116243790</v>
      </c>
      <c r="V160" s="61"/>
      <c r="W160" s="61"/>
      <c r="X160" s="60"/>
      <c r="Y160" s="60"/>
      <c r="Z160" s="62">
        <f>SUM(Z154:Z159)+Z153</f>
        <v>132099069.00000003</v>
      </c>
    </row>
    <row r="161" spans="1:26" s="18" customFormat="1" ht="17.25" hidden="1" outlineLevel="1" thickTop="1" x14ac:dyDescent="0.3">
      <c r="C161" s="60"/>
      <c r="D161" s="61"/>
      <c r="E161" s="61"/>
      <c r="F161" s="61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1"/>
      <c r="V161" s="61"/>
      <c r="W161" s="61"/>
      <c r="X161" s="61"/>
      <c r="Y161" s="61"/>
      <c r="Z161" s="61"/>
    </row>
    <row r="162" spans="1:26" s="18" customFormat="1" ht="17.25" hidden="1" outlineLevel="1" x14ac:dyDescent="0.35">
      <c r="A162" s="25" t="s">
        <v>60</v>
      </c>
      <c r="B162" s="25"/>
      <c r="C162" s="60"/>
      <c r="D162" s="61"/>
      <c r="E162" s="61"/>
      <c r="F162" s="61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1"/>
      <c r="V162" s="61"/>
      <c r="W162" s="61"/>
      <c r="X162" s="61"/>
      <c r="Y162" s="61"/>
      <c r="Z162" s="61"/>
    </row>
    <row r="163" spans="1:26" s="18" customFormat="1" hidden="1" outlineLevel="1" x14ac:dyDescent="0.3">
      <c r="A163" s="18" t="s">
        <v>99</v>
      </c>
      <c r="C163" s="60"/>
      <c r="D163" s="61"/>
      <c r="E163" s="61"/>
      <c r="F163" s="60">
        <v>2000000</v>
      </c>
      <c r="G163" s="60"/>
      <c r="H163" s="60"/>
      <c r="I163" s="61"/>
      <c r="J163" s="61"/>
      <c r="K163" s="60">
        <v>2000000</v>
      </c>
      <c r="L163" s="60"/>
      <c r="M163" s="60"/>
      <c r="N163" s="61"/>
      <c r="O163" s="61"/>
      <c r="P163" s="60">
        <v>2000000</v>
      </c>
      <c r="Q163" s="60"/>
      <c r="R163" s="60"/>
      <c r="S163" s="61"/>
      <c r="T163" s="61"/>
      <c r="U163" s="60">
        <v>2000000</v>
      </c>
      <c r="V163" s="61"/>
      <c r="W163" s="61"/>
      <c r="X163" s="61"/>
      <c r="Y163" s="61"/>
      <c r="Z163" s="60">
        <v>2000000</v>
      </c>
    </row>
    <row r="164" spans="1:26" s="18" customFormat="1" hidden="1" outlineLevel="1" x14ac:dyDescent="0.3">
      <c r="A164" s="18" t="s">
        <v>61</v>
      </c>
      <c r="C164" s="60"/>
      <c r="D164" s="61">
        <v>60000</v>
      </c>
      <c r="E164" s="61">
        <v>12</v>
      </c>
      <c r="F164" s="60">
        <f>E164*D164</f>
        <v>720000</v>
      </c>
      <c r="G164" s="60"/>
      <c r="H164" s="63"/>
      <c r="I164" s="61">
        <v>75000</v>
      </c>
      <c r="J164" s="61">
        <v>12</v>
      </c>
      <c r="K164" s="60">
        <f>J164*I164</f>
        <v>900000</v>
      </c>
      <c r="L164" s="60"/>
      <c r="M164" s="60"/>
      <c r="N164" s="61">
        <v>93750</v>
      </c>
      <c r="O164" s="61">
        <v>12</v>
      </c>
      <c r="P164" s="60">
        <f>O164*N164</f>
        <v>1125000</v>
      </c>
      <c r="Q164" s="60"/>
      <c r="R164" s="60"/>
      <c r="S164" s="61">
        <v>117188</v>
      </c>
      <c r="T164" s="61">
        <v>12</v>
      </c>
      <c r="U164" s="60">
        <f>T164*S164</f>
        <v>1406256</v>
      </c>
      <c r="V164" s="61"/>
      <c r="W164" s="61"/>
      <c r="X164" s="61">
        <v>146484</v>
      </c>
      <c r="Y164" s="61">
        <v>12</v>
      </c>
      <c r="Z164" s="60">
        <f>Y164*X164</f>
        <v>1757808</v>
      </c>
    </row>
    <row r="165" spans="1:26" s="18" customFormat="1" hidden="1" outlineLevel="1" x14ac:dyDescent="0.3">
      <c r="A165" s="18" t="s">
        <v>98</v>
      </c>
      <c r="C165" s="60"/>
      <c r="D165" s="61"/>
      <c r="E165" s="61"/>
      <c r="F165" s="60">
        <v>1000000</v>
      </c>
      <c r="G165" s="60"/>
      <c r="H165" s="63"/>
      <c r="I165" s="61"/>
      <c r="J165" s="61"/>
      <c r="K165" s="60">
        <v>1000000</v>
      </c>
      <c r="L165" s="60"/>
      <c r="M165" s="60"/>
      <c r="N165" s="61"/>
      <c r="O165" s="61"/>
      <c r="P165" s="60">
        <v>1000000</v>
      </c>
      <c r="Q165" s="60"/>
      <c r="R165" s="60"/>
      <c r="S165" s="61"/>
      <c r="T165" s="61"/>
      <c r="U165" s="60">
        <v>1000000</v>
      </c>
      <c r="V165" s="61"/>
      <c r="W165" s="61"/>
      <c r="X165" s="61"/>
      <c r="Y165" s="61"/>
      <c r="Z165" s="60">
        <v>1000000</v>
      </c>
    </row>
    <row r="166" spans="1:26" s="18" customFormat="1" hidden="1" outlineLevel="1" x14ac:dyDescent="0.3">
      <c r="A166" s="18" t="s">
        <v>62</v>
      </c>
      <c r="C166" s="60"/>
      <c r="D166" s="61">
        <v>60000</v>
      </c>
      <c r="E166" s="61">
        <v>12</v>
      </c>
      <c r="F166" s="60">
        <f t="shared" ref="F166:F167" si="133">E166*D166</f>
        <v>720000</v>
      </c>
      <c r="G166" s="60"/>
      <c r="H166" s="63"/>
      <c r="I166" s="61">
        <v>100000</v>
      </c>
      <c r="J166" s="61">
        <v>12</v>
      </c>
      <c r="K166" s="60">
        <f t="shared" ref="K166:K167" si="134">J166*I166</f>
        <v>1200000</v>
      </c>
      <c r="L166" s="60"/>
      <c r="M166" s="60"/>
      <c r="N166" s="61">
        <v>140625</v>
      </c>
      <c r="O166" s="61">
        <v>12</v>
      </c>
      <c r="P166" s="60">
        <f t="shared" ref="P166:P167" si="135">O166*N166</f>
        <v>1687500</v>
      </c>
      <c r="Q166" s="60"/>
      <c r="R166" s="60"/>
      <c r="S166" s="61">
        <v>156250</v>
      </c>
      <c r="T166" s="61">
        <v>12</v>
      </c>
      <c r="U166" s="60">
        <f t="shared" ref="U166:U167" si="136">T166*S166</f>
        <v>1875000</v>
      </c>
      <c r="V166" s="61"/>
      <c r="W166" s="61"/>
      <c r="X166" s="61">
        <v>195313</v>
      </c>
      <c r="Y166" s="61">
        <v>12</v>
      </c>
      <c r="Z166" s="60">
        <f t="shared" ref="Z166:Z167" si="137">Y166*X166</f>
        <v>2343756</v>
      </c>
    </row>
    <row r="167" spans="1:26" s="18" customFormat="1" hidden="1" outlineLevel="1" x14ac:dyDescent="0.3">
      <c r="A167" s="18" t="s">
        <v>95</v>
      </c>
      <c r="C167" s="60"/>
      <c r="D167" s="61">
        <v>50000</v>
      </c>
      <c r="E167" s="61">
        <v>12</v>
      </c>
      <c r="F167" s="60">
        <f t="shared" si="133"/>
        <v>600000</v>
      </c>
      <c r="G167" s="60"/>
      <c r="H167" s="63"/>
      <c r="I167" s="61">
        <v>75000</v>
      </c>
      <c r="J167" s="61">
        <v>12</v>
      </c>
      <c r="K167" s="60">
        <f t="shared" si="134"/>
        <v>900000</v>
      </c>
      <c r="L167" s="60"/>
      <c r="M167" s="60"/>
      <c r="N167" s="61">
        <v>93750</v>
      </c>
      <c r="O167" s="61">
        <v>12</v>
      </c>
      <c r="P167" s="60">
        <f t="shared" si="135"/>
        <v>1125000</v>
      </c>
      <c r="Q167" s="60"/>
      <c r="R167" s="60"/>
      <c r="S167" s="61">
        <v>117188</v>
      </c>
      <c r="T167" s="61">
        <v>12</v>
      </c>
      <c r="U167" s="60">
        <f t="shared" si="136"/>
        <v>1406256</v>
      </c>
      <c r="V167" s="61"/>
      <c r="W167" s="61"/>
      <c r="X167" s="61">
        <v>146484</v>
      </c>
      <c r="Y167" s="61">
        <v>12</v>
      </c>
      <c r="Z167" s="60">
        <f t="shared" si="137"/>
        <v>1757808</v>
      </c>
    </row>
    <row r="168" spans="1:26" s="18" customFormat="1" hidden="1" outlineLevel="1" x14ac:dyDescent="0.3">
      <c r="A168" s="18" t="s">
        <v>96</v>
      </c>
      <c r="C168" s="60"/>
      <c r="D168" s="61"/>
      <c r="E168" s="61"/>
      <c r="F168" s="60">
        <v>200000</v>
      </c>
      <c r="G168" s="60"/>
      <c r="H168" s="63"/>
      <c r="I168" s="61"/>
      <c r="J168" s="61"/>
      <c r="K168" s="60">
        <v>200000</v>
      </c>
      <c r="L168" s="60"/>
      <c r="M168" s="60"/>
      <c r="N168" s="61"/>
      <c r="O168" s="61"/>
      <c r="P168" s="60">
        <v>200000</v>
      </c>
      <c r="Q168" s="60"/>
      <c r="R168" s="60"/>
      <c r="S168" s="61"/>
      <c r="T168" s="61"/>
      <c r="U168" s="60">
        <v>200000</v>
      </c>
      <c r="V168" s="61"/>
      <c r="W168" s="61"/>
      <c r="X168" s="61"/>
      <c r="Y168" s="61"/>
      <c r="Z168" s="60">
        <v>200000</v>
      </c>
    </row>
    <row r="169" spans="1:26" s="18" customFormat="1" hidden="1" outlineLevel="1" x14ac:dyDescent="0.3">
      <c r="A169" s="18" t="s">
        <v>100</v>
      </c>
      <c r="C169" s="60"/>
      <c r="D169" s="61">
        <v>100000</v>
      </c>
      <c r="E169" s="61">
        <v>12</v>
      </c>
      <c r="F169" s="60">
        <f t="shared" ref="F169:F170" si="138">E169*D169</f>
        <v>1200000</v>
      </c>
      <c r="G169" s="60"/>
      <c r="H169" s="63"/>
      <c r="I169" s="61">
        <v>100000</v>
      </c>
      <c r="J169" s="61">
        <v>12</v>
      </c>
      <c r="K169" s="60">
        <f t="shared" ref="K169:K170" si="139">J169*I169</f>
        <v>1200000</v>
      </c>
      <c r="L169" s="60"/>
      <c r="M169" s="60"/>
      <c r="N169" s="61">
        <v>100000</v>
      </c>
      <c r="O169" s="61">
        <v>12</v>
      </c>
      <c r="P169" s="60">
        <f t="shared" ref="P169:P170" si="140">O169*N169</f>
        <v>1200000</v>
      </c>
      <c r="Q169" s="60"/>
      <c r="R169" s="60"/>
      <c r="S169" s="61">
        <v>100000</v>
      </c>
      <c r="T169" s="61">
        <v>12</v>
      </c>
      <c r="U169" s="60">
        <f t="shared" ref="U169:U170" si="141">T169*S169</f>
        <v>1200000</v>
      </c>
      <c r="V169" s="61"/>
      <c r="W169" s="61"/>
      <c r="X169" s="61">
        <v>100000</v>
      </c>
      <c r="Y169" s="61">
        <v>12</v>
      </c>
      <c r="Z169" s="60">
        <f t="shared" ref="Z169:Z170" si="142">Y169*X169</f>
        <v>1200000</v>
      </c>
    </row>
    <row r="170" spans="1:26" s="18" customFormat="1" hidden="1" outlineLevel="1" x14ac:dyDescent="0.3">
      <c r="A170" s="18" t="s">
        <v>63</v>
      </c>
      <c r="C170" s="60"/>
      <c r="D170" s="61">
        <v>80000</v>
      </c>
      <c r="E170" s="61">
        <v>12</v>
      </c>
      <c r="F170" s="60">
        <f t="shared" si="138"/>
        <v>960000</v>
      </c>
      <c r="G170" s="60"/>
      <c r="H170" s="63"/>
      <c r="I170" s="61">
        <v>87500</v>
      </c>
      <c r="J170" s="61">
        <v>12</v>
      </c>
      <c r="K170" s="60">
        <f t="shared" si="139"/>
        <v>1050000</v>
      </c>
      <c r="L170" s="60"/>
      <c r="M170" s="60"/>
      <c r="N170" s="61">
        <v>109375</v>
      </c>
      <c r="O170" s="61">
        <v>12</v>
      </c>
      <c r="P170" s="60">
        <f t="shared" si="140"/>
        <v>1312500</v>
      </c>
      <c r="Q170" s="60"/>
      <c r="R170" s="60"/>
      <c r="S170" s="61">
        <v>136719</v>
      </c>
      <c r="T170" s="61">
        <v>12</v>
      </c>
      <c r="U170" s="60">
        <f t="shared" si="141"/>
        <v>1640628</v>
      </c>
      <c r="V170" s="61"/>
      <c r="W170" s="61"/>
      <c r="X170" s="61">
        <v>170898</v>
      </c>
      <c r="Y170" s="61">
        <v>12</v>
      </c>
      <c r="Z170" s="60">
        <f t="shared" si="142"/>
        <v>2050776</v>
      </c>
    </row>
    <row r="171" spans="1:26" s="18" customFormat="1" hidden="1" outlineLevel="1" x14ac:dyDescent="0.3">
      <c r="A171" s="18" t="s">
        <v>64</v>
      </c>
      <c r="C171" s="60"/>
      <c r="D171" s="61">
        <v>250000</v>
      </c>
      <c r="E171" s="61">
        <v>12</v>
      </c>
      <c r="F171" s="60">
        <f>E171*D171</f>
        <v>3000000</v>
      </c>
      <c r="G171" s="60"/>
      <c r="H171" s="63"/>
      <c r="I171" s="61">
        <v>500000</v>
      </c>
      <c r="J171" s="61">
        <v>12</v>
      </c>
      <c r="K171" s="60">
        <f>J171*I171</f>
        <v>6000000</v>
      </c>
      <c r="L171" s="60"/>
      <c r="M171" s="60"/>
      <c r="N171" s="61">
        <v>510000</v>
      </c>
      <c r="O171" s="61">
        <v>12</v>
      </c>
      <c r="P171" s="60">
        <f>O171*N171</f>
        <v>6120000</v>
      </c>
      <c r="Q171" s="60"/>
      <c r="R171" s="60"/>
      <c r="S171" s="61">
        <v>520000</v>
      </c>
      <c r="T171" s="61">
        <v>12</v>
      </c>
      <c r="U171" s="60">
        <f>T171*S171</f>
        <v>6240000</v>
      </c>
      <c r="V171" s="61"/>
      <c r="W171" s="61"/>
      <c r="X171" s="61">
        <v>540000</v>
      </c>
      <c r="Y171" s="61">
        <v>12</v>
      </c>
      <c r="Z171" s="60">
        <f>Y171*X171</f>
        <v>6480000</v>
      </c>
    </row>
    <row r="172" spans="1:26" s="18" customFormat="1" hidden="1" outlineLevel="1" x14ac:dyDescent="0.3">
      <c r="A172" s="18" t="s">
        <v>70</v>
      </c>
      <c r="C172" s="60"/>
      <c r="D172" s="61">
        <v>62500</v>
      </c>
      <c r="E172" s="61">
        <v>12</v>
      </c>
      <c r="F172" s="60">
        <f>E172*D172</f>
        <v>750000</v>
      </c>
      <c r="G172" s="60"/>
      <c r="H172" s="63"/>
      <c r="I172" s="61">
        <v>125000</v>
      </c>
      <c r="J172" s="61">
        <v>12</v>
      </c>
      <c r="K172" s="60">
        <f>J172*I172</f>
        <v>1500000</v>
      </c>
      <c r="L172" s="60"/>
      <c r="M172" s="60"/>
      <c r="N172" s="61"/>
      <c r="O172" s="61"/>
      <c r="P172" s="60">
        <f>O172*N172</f>
        <v>0</v>
      </c>
      <c r="Q172" s="60"/>
      <c r="R172" s="60"/>
      <c r="S172" s="61">
        <v>193313</v>
      </c>
      <c r="T172" s="61">
        <v>12</v>
      </c>
      <c r="U172" s="60">
        <f>T172*S172</f>
        <v>2319756</v>
      </c>
      <c r="V172" s="61"/>
      <c r="W172" s="61"/>
      <c r="X172" s="61">
        <v>202141</v>
      </c>
      <c r="Y172" s="61">
        <v>12</v>
      </c>
      <c r="Z172" s="60">
        <f>Y172*X172</f>
        <v>2425692</v>
      </c>
    </row>
    <row r="173" spans="1:26" s="18" customFormat="1" ht="17.25" hidden="1" outlineLevel="1" thickBot="1" x14ac:dyDescent="0.35">
      <c r="C173" s="60"/>
      <c r="D173" s="61"/>
      <c r="E173" s="61"/>
      <c r="F173" s="64">
        <f>SUM(F163:F172)</f>
        <v>11150000</v>
      </c>
      <c r="G173" s="60"/>
      <c r="H173" s="60"/>
      <c r="I173" s="61"/>
      <c r="J173" s="61"/>
      <c r="K173" s="64">
        <f>SUM(K163:K172)</f>
        <v>15950000</v>
      </c>
      <c r="L173" s="60"/>
      <c r="M173" s="60"/>
      <c r="N173" s="61"/>
      <c r="O173" s="61"/>
      <c r="P173" s="64">
        <f>SUM(P163:P172)</f>
        <v>15770000</v>
      </c>
      <c r="Q173" s="60"/>
      <c r="R173" s="60"/>
      <c r="S173" s="61"/>
      <c r="T173" s="61"/>
      <c r="U173" s="64">
        <f>SUM(U163:U172)</f>
        <v>19287896</v>
      </c>
      <c r="V173" s="61"/>
      <c r="W173" s="61"/>
      <c r="X173" s="61"/>
      <c r="Y173" s="61"/>
      <c r="Z173" s="64">
        <f>SUM(Z163:Z172)</f>
        <v>21215840</v>
      </c>
    </row>
    <row r="174" spans="1:26" s="18" customFormat="1" ht="17.25" hidden="1" outlineLevel="1" thickTop="1" x14ac:dyDescent="0.3"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1"/>
      <c r="W174" s="61"/>
      <c r="X174" s="60"/>
      <c r="Y174" s="60"/>
      <c r="Z174" s="60"/>
    </row>
    <row r="175" spans="1:26" s="18" customFormat="1" ht="17.25" hidden="1" outlineLevel="1" x14ac:dyDescent="0.35">
      <c r="A175" s="25" t="s">
        <v>101</v>
      </c>
      <c r="B175" s="25"/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1"/>
      <c r="W175" s="61"/>
      <c r="X175" s="60"/>
      <c r="Y175" s="60"/>
      <c r="Z175" s="60"/>
    </row>
    <row r="176" spans="1:26" s="18" customFormat="1" hidden="1" outlineLevel="1" x14ac:dyDescent="0.3">
      <c r="A176" s="18" t="s">
        <v>91</v>
      </c>
      <c r="C176" s="60"/>
      <c r="D176" s="60"/>
      <c r="E176" s="60"/>
      <c r="F176" s="60">
        <v>200000</v>
      </c>
      <c r="G176" s="60"/>
      <c r="H176" s="60"/>
      <c r="I176" s="60"/>
      <c r="J176" s="60"/>
      <c r="K176" s="60">
        <v>200000</v>
      </c>
      <c r="L176" s="60"/>
      <c r="M176" s="60"/>
      <c r="N176" s="60"/>
      <c r="O176" s="60"/>
      <c r="P176" s="60">
        <v>200000</v>
      </c>
      <c r="Q176" s="60"/>
      <c r="R176" s="60"/>
      <c r="S176" s="60"/>
      <c r="T176" s="60"/>
      <c r="U176" s="60">
        <v>200000</v>
      </c>
      <c r="V176" s="61"/>
      <c r="W176" s="61"/>
      <c r="X176" s="60"/>
      <c r="Y176" s="60"/>
      <c r="Z176" s="60">
        <v>200000</v>
      </c>
    </row>
    <row r="177" spans="1:26" s="18" customFormat="1" hidden="1" outlineLevel="1" x14ac:dyDescent="0.3">
      <c r="A177" s="18" t="s">
        <v>76</v>
      </c>
      <c r="C177" s="60"/>
      <c r="D177" s="60"/>
      <c r="E177" s="60"/>
      <c r="F177" s="60"/>
      <c r="G177" s="60"/>
      <c r="H177" s="60"/>
      <c r="I177" s="60">
        <v>100000</v>
      </c>
      <c r="J177" s="60">
        <v>12</v>
      </c>
      <c r="K177" s="60">
        <f t="shared" ref="K177:K180" si="143">J177*I177</f>
        <v>1200000</v>
      </c>
      <c r="L177" s="60"/>
      <c r="M177" s="60"/>
      <c r="N177" s="60">
        <v>80000</v>
      </c>
      <c r="O177" s="60">
        <v>12</v>
      </c>
      <c r="P177" s="60">
        <f t="shared" ref="P177:P180" si="144">O177*N177</f>
        <v>960000</v>
      </c>
      <c r="Q177" s="60"/>
      <c r="R177" s="60"/>
      <c r="S177" s="60">
        <v>80000</v>
      </c>
      <c r="T177" s="60">
        <v>12</v>
      </c>
      <c r="U177" s="60">
        <f t="shared" ref="U177:U180" si="145">T177*S177</f>
        <v>960000</v>
      </c>
      <c r="V177" s="61"/>
      <c r="W177" s="61"/>
      <c r="X177" s="60">
        <v>70000</v>
      </c>
      <c r="Y177" s="60">
        <v>12</v>
      </c>
      <c r="Z177" s="60">
        <f t="shared" ref="Z177:Z180" si="146">Y177*X177</f>
        <v>840000</v>
      </c>
    </row>
    <row r="178" spans="1:26" s="18" customFormat="1" hidden="1" outlineLevel="1" x14ac:dyDescent="0.3">
      <c r="A178" s="18" t="s">
        <v>65</v>
      </c>
      <c r="C178" s="60"/>
      <c r="D178" s="60"/>
      <c r="E178" s="60"/>
      <c r="F178" s="60"/>
      <c r="G178" s="60"/>
      <c r="H178" s="60"/>
      <c r="I178" s="60">
        <v>100000</v>
      </c>
      <c r="J178" s="60">
        <v>12</v>
      </c>
      <c r="K178" s="60">
        <f t="shared" si="143"/>
        <v>1200000</v>
      </c>
      <c r="L178" s="60"/>
      <c r="M178" s="60"/>
      <c r="N178" s="60">
        <v>90000</v>
      </c>
      <c r="O178" s="60">
        <v>12</v>
      </c>
      <c r="P178" s="60">
        <f t="shared" si="144"/>
        <v>1080000</v>
      </c>
      <c r="Q178" s="60"/>
      <c r="R178" s="60"/>
      <c r="S178" s="60">
        <v>90000</v>
      </c>
      <c r="T178" s="60">
        <v>12</v>
      </c>
      <c r="U178" s="60">
        <f t="shared" si="145"/>
        <v>1080000</v>
      </c>
      <c r="V178" s="61"/>
      <c r="W178" s="61"/>
      <c r="X178" s="60">
        <v>60000</v>
      </c>
      <c r="Y178" s="60">
        <v>12</v>
      </c>
      <c r="Z178" s="60">
        <f t="shared" si="146"/>
        <v>720000</v>
      </c>
    </row>
    <row r="179" spans="1:26" s="18" customFormat="1" hidden="1" outlineLevel="1" x14ac:dyDescent="0.3">
      <c r="A179" s="18" t="s">
        <v>66</v>
      </c>
      <c r="C179" s="60"/>
      <c r="D179" s="60"/>
      <c r="E179" s="60"/>
      <c r="F179" s="60"/>
      <c r="G179" s="60"/>
      <c r="H179" s="60"/>
      <c r="I179" s="60">
        <v>100000</v>
      </c>
      <c r="J179" s="60">
        <v>12</v>
      </c>
      <c r="K179" s="60">
        <f t="shared" si="143"/>
        <v>1200000</v>
      </c>
      <c r="L179" s="60"/>
      <c r="M179" s="60"/>
      <c r="N179" s="60">
        <v>90000</v>
      </c>
      <c r="O179" s="60">
        <v>12</v>
      </c>
      <c r="P179" s="60">
        <f t="shared" si="144"/>
        <v>1080000</v>
      </c>
      <c r="Q179" s="60"/>
      <c r="R179" s="60"/>
      <c r="S179" s="60">
        <v>90000</v>
      </c>
      <c r="T179" s="60">
        <v>12</v>
      </c>
      <c r="U179" s="60">
        <f t="shared" si="145"/>
        <v>1080000</v>
      </c>
      <c r="V179" s="61"/>
      <c r="W179" s="61"/>
      <c r="X179" s="60">
        <v>62000</v>
      </c>
      <c r="Y179" s="60">
        <v>12</v>
      </c>
      <c r="Z179" s="60">
        <f t="shared" si="146"/>
        <v>744000</v>
      </c>
    </row>
    <row r="180" spans="1:26" s="18" customFormat="1" hidden="1" outlineLevel="1" x14ac:dyDescent="0.3">
      <c r="A180" s="18" t="s">
        <v>67</v>
      </c>
      <c r="C180" s="60"/>
      <c r="D180" s="60">
        <v>100000</v>
      </c>
      <c r="E180" s="60">
        <v>12</v>
      </c>
      <c r="F180" s="61">
        <f>D180*E180</f>
        <v>1200000</v>
      </c>
      <c r="G180" s="60"/>
      <c r="H180" s="60"/>
      <c r="I180" s="60">
        <v>100000</v>
      </c>
      <c r="J180" s="60">
        <v>12</v>
      </c>
      <c r="K180" s="60">
        <f t="shared" si="143"/>
        <v>1200000</v>
      </c>
      <c r="L180" s="60"/>
      <c r="M180" s="60"/>
      <c r="N180" s="60">
        <v>100000</v>
      </c>
      <c r="O180" s="60">
        <v>12</v>
      </c>
      <c r="P180" s="60">
        <f t="shared" si="144"/>
        <v>1200000</v>
      </c>
      <c r="Q180" s="60"/>
      <c r="R180" s="60"/>
      <c r="S180" s="60">
        <v>100000</v>
      </c>
      <c r="T180" s="60">
        <v>12</v>
      </c>
      <c r="U180" s="60">
        <f t="shared" si="145"/>
        <v>1200000</v>
      </c>
      <c r="V180" s="61"/>
      <c r="W180" s="61"/>
      <c r="X180" s="60">
        <v>100000</v>
      </c>
      <c r="Y180" s="60">
        <v>12</v>
      </c>
      <c r="Z180" s="60">
        <f t="shared" si="146"/>
        <v>1200000</v>
      </c>
    </row>
    <row r="181" spans="1:26" s="18" customFormat="1" hidden="1" outlineLevel="1" x14ac:dyDescent="0.3">
      <c r="A181" s="18" t="s">
        <v>92</v>
      </c>
      <c r="C181" s="60"/>
      <c r="D181" s="60"/>
      <c r="E181" s="60"/>
      <c r="F181" s="61">
        <v>200000</v>
      </c>
      <c r="G181" s="60"/>
      <c r="H181" s="60"/>
      <c r="I181" s="60"/>
      <c r="J181" s="60"/>
      <c r="K181" s="61">
        <v>200000</v>
      </c>
      <c r="L181" s="60"/>
      <c r="M181" s="60"/>
      <c r="N181" s="60"/>
      <c r="O181" s="60"/>
      <c r="P181" s="61">
        <v>200000</v>
      </c>
      <c r="Q181" s="60"/>
      <c r="R181" s="60"/>
      <c r="S181" s="60"/>
      <c r="T181" s="60"/>
      <c r="U181" s="61">
        <v>200000</v>
      </c>
      <c r="V181" s="61"/>
      <c r="W181" s="61"/>
      <c r="X181" s="60"/>
      <c r="Y181" s="60"/>
      <c r="Z181" s="61">
        <v>200000</v>
      </c>
    </row>
    <row r="182" spans="1:26" s="18" customFormat="1" hidden="1" outlineLevel="1" x14ac:dyDescent="0.3">
      <c r="A182" s="18" t="s">
        <v>93</v>
      </c>
      <c r="C182" s="60"/>
      <c r="D182" s="60"/>
      <c r="E182" s="60"/>
      <c r="F182" s="60">
        <v>200000</v>
      </c>
      <c r="G182" s="60"/>
      <c r="H182" s="60"/>
      <c r="I182" s="60"/>
      <c r="J182" s="60"/>
      <c r="K182" s="60">
        <v>200000</v>
      </c>
      <c r="L182" s="60"/>
      <c r="M182" s="60"/>
      <c r="N182" s="60"/>
      <c r="O182" s="60"/>
      <c r="P182" s="60">
        <v>200000</v>
      </c>
      <c r="Q182" s="60"/>
      <c r="R182" s="60"/>
      <c r="S182" s="60"/>
      <c r="T182" s="60"/>
      <c r="U182" s="60">
        <v>200000</v>
      </c>
      <c r="V182" s="61"/>
      <c r="W182" s="61"/>
      <c r="X182" s="60"/>
      <c r="Y182" s="60"/>
      <c r="Z182" s="60">
        <v>200000</v>
      </c>
    </row>
    <row r="183" spans="1:26" s="18" customFormat="1" hidden="1" outlineLevel="1" x14ac:dyDescent="0.3">
      <c r="A183" s="18" t="s">
        <v>68</v>
      </c>
      <c r="C183" s="60"/>
      <c r="D183" s="60"/>
      <c r="E183" s="60"/>
      <c r="F183" s="60"/>
      <c r="G183" s="60"/>
      <c r="H183" s="60"/>
      <c r="I183" s="60">
        <v>200000</v>
      </c>
      <c r="J183" s="60">
        <v>12</v>
      </c>
      <c r="K183" s="60">
        <f>J183*I183</f>
        <v>2400000</v>
      </c>
      <c r="L183" s="60"/>
      <c r="M183" s="60"/>
      <c r="N183" s="60">
        <v>100000</v>
      </c>
      <c r="O183" s="60">
        <v>12</v>
      </c>
      <c r="P183" s="60">
        <f>O183*N183</f>
        <v>1200000</v>
      </c>
      <c r="Q183" s="60"/>
      <c r="R183" s="60"/>
      <c r="S183" s="60">
        <v>120000</v>
      </c>
      <c r="T183" s="60">
        <v>12</v>
      </c>
      <c r="U183" s="60">
        <f>T183*S183</f>
        <v>1440000</v>
      </c>
      <c r="V183" s="61"/>
      <c r="W183" s="61"/>
      <c r="X183" s="60">
        <v>100000</v>
      </c>
      <c r="Y183" s="60">
        <v>12</v>
      </c>
      <c r="Z183" s="60">
        <f>Y183*X183</f>
        <v>1200000</v>
      </c>
    </row>
    <row r="184" spans="1:26" s="18" customFormat="1" hidden="1" outlineLevel="1" x14ac:dyDescent="0.3">
      <c r="A184" s="18" t="s">
        <v>94</v>
      </c>
      <c r="C184" s="60"/>
      <c r="D184" s="60"/>
      <c r="E184" s="60"/>
      <c r="F184" s="60">
        <v>100000</v>
      </c>
      <c r="G184" s="60"/>
      <c r="H184" s="60"/>
      <c r="I184" s="60"/>
      <c r="J184" s="60"/>
      <c r="K184" s="60">
        <v>100000</v>
      </c>
      <c r="L184" s="60"/>
      <c r="M184" s="60"/>
      <c r="N184" s="60"/>
      <c r="O184" s="60"/>
      <c r="P184" s="60">
        <v>100000</v>
      </c>
      <c r="Q184" s="60"/>
      <c r="R184" s="60"/>
      <c r="S184" s="60"/>
      <c r="T184" s="60"/>
      <c r="U184" s="60">
        <v>100000</v>
      </c>
      <c r="V184" s="61"/>
      <c r="W184" s="61"/>
      <c r="X184" s="60"/>
      <c r="Y184" s="60"/>
      <c r="Z184" s="60">
        <v>100000</v>
      </c>
    </row>
    <row r="185" spans="1:26" s="18" customFormat="1" ht="17.25" hidden="1" outlineLevel="1" thickBot="1" x14ac:dyDescent="0.35">
      <c r="C185" s="60"/>
      <c r="D185" s="60"/>
      <c r="E185" s="60"/>
      <c r="F185" s="62">
        <f>SUM(F176:F184)</f>
        <v>1900000</v>
      </c>
      <c r="G185" s="60"/>
      <c r="H185" s="60"/>
      <c r="I185" s="60"/>
      <c r="J185" s="60"/>
      <c r="K185" s="62">
        <f>SUM(K176:K184)</f>
        <v>7900000</v>
      </c>
      <c r="L185" s="60"/>
      <c r="M185" s="60"/>
      <c r="N185" s="60"/>
      <c r="O185" s="60"/>
      <c r="P185" s="62">
        <f>SUM(P176:P184)</f>
        <v>6220000</v>
      </c>
      <c r="Q185" s="60"/>
      <c r="R185" s="60"/>
      <c r="S185" s="60"/>
      <c r="T185" s="60"/>
      <c r="U185" s="62">
        <f>SUM(U176:U184)</f>
        <v>6460000</v>
      </c>
      <c r="V185" s="61"/>
      <c r="W185" s="61"/>
      <c r="X185" s="60"/>
      <c r="Y185" s="60"/>
      <c r="Z185" s="62">
        <f>SUM(Z176:Z184)</f>
        <v>5404000</v>
      </c>
    </row>
    <row r="186" spans="1:26" s="18" customFormat="1" ht="18" hidden="1" outlineLevel="1" thickTop="1" x14ac:dyDescent="0.35">
      <c r="A186" s="22" t="s">
        <v>73</v>
      </c>
      <c r="B186" s="22"/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1"/>
      <c r="W186" s="61"/>
      <c r="X186" s="60"/>
      <c r="Y186" s="60"/>
      <c r="Z186" s="60"/>
    </row>
    <row r="187" spans="1:26" s="18" customFormat="1" hidden="1" outlineLevel="1" x14ac:dyDescent="0.3">
      <c r="A187" s="18" t="s">
        <v>71</v>
      </c>
      <c r="C187" s="60"/>
      <c r="D187" s="60"/>
      <c r="E187" s="60"/>
      <c r="F187" s="60">
        <f>F125</f>
        <v>53040000.000000007</v>
      </c>
      <c r="G187" s="60"/>
      <c r="H187" s="60"/>
      <c r="I187" s="60"/>
      <c r="J187" s="60"/>
      <c r="K187" s="60">
        <f t="shared" ref="K187:Z187" si="147">K125</f>
        <v>50671414.112210929</v>
      </c>
      <c r="L187" s="60"/>
      <c r="M187" s="60"/>
      <c r="N187" s="60"/>
      <c r="O187" s="60"/>
      <c r="P187" s="60">
        <f t="shared" si="147"/>
        <v>47900168.62349771</v>
      </c>
      <c r="Q187" s="60"/>
      <c r="R187" s="60"/>
      <c r="S187" s="60"/>
      <c r="T187" s="60"/>
      <c r="U187" s="60">
        <f t="shared" si="147"/>
        <v>44657811.401703253</v>
      </c>
      <c r="V187" s="60"/>
      <c r="W187" s="60"/>
      <c r="X187" s="60"/>
      <c r="Y187" s="60"/>
      <c r="Z187" s="60">
        <f t="shared" si="147"/>
        <v>40864253.452203736</v>
      </c>
    </row>
    <row r="188" spans="1:26" s="18" customFormat="1" hidden="1" outlineLevel="1" x14ac:dyDescent="0.3">
      <c r="A188" s="18" t="s">
        <v>72</v>
      </c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1"/>
      <c r="W188" s="61"/>
      <c r="X188" s="60"/>
      <c r="Y188" s="60"/>
      <c r="Z188" s="60"/>
    </row>
    <row r="189" spans="1:26" s="18" customFormat="1" ht="17.25" hidden="1" outlineLevel="1" thickBot="1" x14ac:dyDescent="0.35">
      <c r="C189" s="60"/>
      <c r="D189" s="60"/>
      <c r="E189" s="60"/>
      <c r="F189" s="62">
        <f>SUM(F187:F188)</f>
        <v>53040000.000000007</v>
      </c>
      <c r="G189" s="60"/>
      <c r="H189" s="60"/>
      <c r="I189" s="60"/>
      <c r="J189" s="60"/>
      <c r="K189" s="62">
        <f>SUM(K187:K188)</f>
        <v>50671414.112210929</v>
      </c>
      <c r="L189" s="60"/>
      <c r="M189" s="60"/>
      <c r="N189" s="60"/>
      <c r="O189" s="60"/>
      <c r="P189" s="62">
        <f>SUM(P187:P188)</f>
        <v>47900168.62349771</v>
      </c>
      <c r="Q189" s="60"/>
      <c r="R189" s="60"/>
      <c r="S189" s="60"/>
      <c r="T189" s="60"/>
      <c r="U189" s="62">
        <f>SUM(U187:U188)</f>
        <v>44657811.401703253</v>
      </c>
      <c r="V189" s="61"/>
      <c r="W189" s="61"/>
      <c r="X189" s="60"/>
      <c r="Y189" s="60"/>
      <c r="Z189" s="62">
        <f>SUM(Z187:Z188)</f>
        <v>40864253.452203736</v>
      </c>
    </row>
    <row r="190" spans="1:26" s="18" customFormat="1" ht="17.25" hidden="1" outlineLevel="1" thickTop="1" x14ac:dyDescent="0.3"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1"/>
      <c r="W190" s="61"/>
      <c r="X190" s="60"/>
      <c r="Y190" s="60"/>
      <c r="Z190" s="60"/>
    </row>
    <row r="191" spans="1:26" s="18" customFormat="1" hidden="1" outlineLevel="1" x14ac:dyDescent="0.3">
      <c r="A191" s="18" t="s">
        <v>69</v>
      </c>
      <c r="C191" s="60"/>
      <c r="D191" s="60">
        <v>70000</v>
      </c>
      <c r="E191" s="60">
        <v>5</v>
      </c>
      <c r="F191" s="60">
        <f>D191*E191</f>
        <v>350000</v>
      </c>
      <c r="G191" s="60"/>
      <c r="H191" s="60"/>
      <c r="I191" s="60">
        <v>70000</v>
      </c>
      <c r="J191" s="60">
        <v>8</v>
      </c>
      <c r="K191" s="60">
        <f>I191*J191</f>
        <v>560000</v>
      </c>
      <c r="L191" s="60"/>
      <c r="M191" s="60"/>
      <c r="N191" s="60">
        <v>70000</v>
      </c>
      <c r="O191" s="60">
        <v>11</v>
      </c>
      <c r="P191" s="60">
        <f>N191*O191</f>
        <v>770000</v>
      </c>
      <c r="Q191" s="60"/>
      <c r="R191" s="60"/>
      <c r="S191" s="60">
        <v>70000</v>
      </c>
      <c r="T191" s="60">
        <v>14</v>
      </c>
      <c r="U191" s="60">
        <f>S191*T191</f>
        <v>980000</v>
      </c>
      <c r="V191" s="61"/>
      <c r="W191" s="61"/>
      <c r="X191" s="60">
        <v>70000</v>
      </c>
      <c r="Y191" s="60">
        <v>17</v>
      </c>
      <c r="Z191" s="60">
        <f>X191*Y191</f>
        <v>1190000</v>
      </c>
    </row>
    <row r="192" spans="1:26" hidden="1" outlineLevel="1" x14ac:dyDescent="0.3">
      <c r="A192" s="19"/>
      <c r="B192" s="19"/>
      <c r="C192" s="69"/>
      <c r="D192" s="69"/>
      <c r="E192" s="69"/>
      <c r="F192" s="69"/>
      <c r="G192" s="69"/>
      <c r="H192" s="69"/>
      <c r="I192" s="69"/>
      <c r="J192" s="69"/>
      <c r="K192" s="69"/>
      <c r="L192" s="69"/>
      <c r="M192" s="69"/>
      <c r="N192" s="69"/>
      <c r="O192" s="69"/>
      <c r="P192" s="69"/>
      <c r="Q192" s="69"/>
      <c r="R192" s="69"/>
      <c r="S192" s="69"/>
      <c r="T192" s="69"/>
      <c r="U192" s="69"/>
      <c r="V192" s="70"/>
      <c r="W192" s="70"/>
      <c r="X192" s="69"/>
      <c r="Y192" s="69"/>
      <c r="Z192" s="69"/>
    </row>
    <row r="193" spans="1:26" ht="17.25" hidden="1" outlineLevel="1" x14ac:dyDescent="0.35">
      <c r="A193" s="8" t="s">
        <v>84</v>
      </c>
      <c r="B193" s="4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</row>
    <row r="194" spans="1:26" hidden="1" outlineLevel="1" x14ac:dyDescent="0.3">
      <c r="A194" s="3" t="s">
        <v>7</v>
      </c>
      <c r="C194" s="71">
        <f t="shared" ref="C194:F200" si="148">IFERROR(CHOOSE($B$4,C8,C70,C132),"")</f>
        <v>5831250</v>
      </c>
      <c r="D194" s="71">
        <f t="shared" si="148"/>
        <v>17746500</v>
      </c>
      <c r="E194" s="71">
        <f t="shared" si="148"/>
        <v>40254000</v>
      </c>
      <c r="F194" s="71">
        <f t="shared" si="148"/>
        <v>63831750</v>
      </c>
      <c r="G194" s="71"/>
      <c r="H194" s="71">
        <f t="shared" ref="H194:K200" si="149">IFERROR(CHOOSE($B$4,H8,H70,H132),"")</f>
        <v>18805781.25</v>
      </c>
      <c r="I194" s="71">
        <f t="shared" si="149"/>
        <v>57232462.5</v>
      </c>
      <c r="J194" s="71">
        <f t="shared" si="149"/>
        <v>129819150</v>
      </c>
      <c r="K194" s="71">
        <f t="shared" si="149"/>
        <v>205857393.75</v>
      </c>
      <c r="L194" s="71"/>
      <c r="M194" s="71">
        <f t="shared" ref="M194:P200" si="150">IFERROR(CHOOSE($B$4,M8,M70,M132),"")</f>
        <v>33693691.40625</v>
      </c>
      <c r="N194" s="71">
        <f t="shared" si="150"/>
        <v>102541495.3125</v>
      </c>
      <c r="O194" s="71">
        <f t="shared" si="150"/>
        <v>232592643.75</v>
      </c>
      <c r="P194" s="71">
        <f t="shared" si="150"/>
        <v>368827830.46875</v>
      </c>
      <c r="Q194" s="71"/>
      <c r="R194" s="71">
        <f t="shared" ref="R194:U200" si="151">IFERROR(CHOOSE($B$4,R8,R70,R132),"")</f>
        <v>50709005.56640625</v>
      </c>
      <c r="S194" s="71">
        <f t="shared" si="151"/>
        <v>154324950.4453125</v>
      </c>
      <c r="T194" s="71">
        <f t="shared" si="151"/>
        <v>350051928.84375</v>
      </c>
      <c r="U194" s="71">
        <f t="shared" si="151"/>
        <v>555085884.85546875</v>
      </c>
      <c r="V194" s="71"/>
      <c r="W194" s="71">
        <f t="shared" ref="W194:Z200" si="152">IFERROR(CHOOSE($B$4,W8,W70,W132),"")</f>
        <v>70087089.836425781</v>
      </c>
      <c r="X194" s="71">
        <f t="shared" si="152"/>
        <v>213299127.93691406</v>
      </c>
      <c r="Y194" s="71">
        <f t="shared" si="152"/>
        <v>483821773.08046871</v>
      </c>
      <c r="Z194" s="71">
        <f t="shared" si="152"/>
        <v>767207990.85380864</v>
      </c>
    </row>
    <row r="195" spans="1:26" hidden="1" outlineLevel="1" x14ac:dyDescent="0.3">
      <c r="A195" s="3" t="s">
        <v>8</v>
      </c>
      <c r="C195" s="71">
        <f t="shared" si="148"/>
        <v>1000000</v>
      </c>
      <c r="D195" s="71">
        <f t="shared" si="148"/>
        <v>1500000</v>
      </c>
      <c r="E195" s="71">
        <f t="shared" si="148"/>
        <v>1750000</v>
      </c>
      <c r="F195" s="71">
        <f t="shared" si="148"/>
        <v>4250000</v>
      </c>
      <c r="G195" s="71"/>
      <c r="H195" s="71">
        <f t="shared" si="149"/>
        <v>3000000</v>
      </c>
      <c r="I195" s="71">
        <f t="shared" si="149"/>
        <v>4500000</v>
      </c>
      <c r="J195" s="71">
        <f t="shared" si="149"/>
        <v>5250000</v>
      </c>
      <c r="K195" s="71">
        <f t="shared" si="149"/>
        <v>12750000</v>
      </c>
      <c r="L195" s="71"/>
      <c r="M195" s="71">
        <f t="shared" si="150"/>
        <v>5000000</v>
      </c>
      <c r="N195" s="71">
        <f t="shared" si="150"/>
        <v>7500000</v>
      </c>
      <c r="O195" s="71">
        <f t="shared" si="150"/>
        <v>8750000</v>
      </c>
      <c r="P195" s="71">
        <f t="shared" si="150"/>
        <v>21250000</v>
      </c>
      <c r="Q195" s="71"/>
      <c r="R195" s="71">
        <f t="shared" si="151"/>
        <v>7000000</v>
      </c>
      <c r="S195" s="71">
        <f t="shared" si="151"/>
        <v>10500000</v>
      </c>
      <c r="T195" s="71">
        <f t="shared" si="151"/>
        <v>12250000</v>
      </c>
      <c r="U195" s="71">
        <f t="shared" si="151"/>
        <v>29750000</v>
      </c>
      <c r="V195" s="71"/>
      <c r="W195" s="71">
        <f t="shared" si="152"/>
        <v>9000000</v>
      </c>
      <c r="X195" s="71">
        <f t="shared" si="152"/>
        <v>13500000</v>
      </c>
      <c r="Y195" s="71">
        <f t="shared" si="152"/>
        <v>15750000</v>
      </c>
      <c r="Z195" s="71">
        <f t="shared" si="152"/>
        <v>38250000</v>
      </c>
    </row>
    <row r="196" spans="1:26" hidden="1" outlineLevel="1" x14ac:dyDescent="0.3">
      <c r="A196" s="3" t="s">
        <v>10</v>
      </c>
      <c r="C196" s="71">
        <f t="shared" si="148"/>
        <v>1400000</v>
      </c>
      <c r="D196" s="71">
        <f t="shared" si="148"/>
        <v>2100000</v>
      </c>
      <c r="E196" s="71">
        <f t="shared" si="148"/>
        <v>2450000</v>
      </c>
      <c r="F196" s="71">
        <f t="shared" si="148"/>
        <v>5950000</v>
      </c>
      <c r="G196" s="71"/>
      <c r="H196" s="71">
        <f t="shared" si="149"/>
        <v>4200000</v>
      </c>
      <c r="I196" s="71">
        <f t="shared" si="149"/>
        <v>6300000</v>
      </c>
      <c r="J196" s="71">
        <f t="shared" si="149"/>
        <v>7350000</v>
      </c>
      <c r="K196" s="71">
        <f t="shared" si="149"/>
        <v>17850000</v>
      </c>
      <c r="L196" s="71"/>
      <c r="M196" s="71">
        <f t="shared" si="150"/>
        <v>7000000</v>
      </c>
      <c r="N196" s="71">
        <f t="shared" si="150"/>
        <v>10500000</v>
      </c>
      <c r="O196" s="71">
        <f t="shared" si="150"/>
        <v>12250000</v>
      </c>
      <c r="P196" s="71">
        <f t="shared" si="150"/>
        <v>29750000</v>
      </c>
      <c r="Q196" s="71"/>
      <c r="R196" s="71">
        <f t="shared" si="151"/>
        <v>9800000</v>
      </c>
      <c r="S196" s="71">
        <f t="shared" si="151"/>
        <v>14700000</v>
      </c>
      <c r="T196" s="71">
        <f t="shared" si="151"/>
        <v>17150000</v>
      </c>
      <c r="U196" s="71">
        <f t="shared" si="151"/>
        <v>41650000</v>
      </c>
      <c r="V196" s="71"/>
      <c r="W196" s="71">
        <f t="shared" si="152"/>
        <v>12600000</v>
      </c>
      <c r="X196" s="71">
        <f t="shared" si="152"/>
        <v>18900000</v>
      </c>
      <c r="Y196" s="71">
        <f t="shared" si="152"/>
        <v>22050000</v>
      </c>
      <c r="Z196" s="71">
        <f t="shared" si="152"/>
        <v>53550000</v>
      </c>
    </row>
    <row r="197" spans="1:26" hidden="1" outlineLevel="1" x14ac:dyDescent="0.3">
      <c r="A197" s="3" t="s">
        <v>9</v>
      </c>
      <c r="C197" s="71">
        <f t="shared" si="148"/>
        <v>3000000</v>
      </c>
      <c r="D197" s="71">
        <f t="shared" si="148"/>
        <v>4500000</v>
      </c>
      <c r="E197" s="71">
        <f t="shared" si="148"/>
        <v>5250000</v>
      </c>
      <c r="F197" s="71">
        <f t="shared" si="148"/>
        <v>12750000</v>
      </c>
      <c r="G197" s="71"/>
      <c r="H197" s="71">
        <f t="shared" si="149"/>
        <v>9000000</v>
      </c>
      <c r="I197" s="71">
        <f t="shared" si="149"/>
        <v>13500000</v>
      </c>
      <c r="J197" s="71">
        <f t="shared" si="149"/>
        <v>15750000</v>
      </c>
      <c r="K197" s="71">
        <f t="shared" si="149"/>
        <v>38250000</v>
      </c>
      <c r="L197" s="71"/>
      <c r="M197" s="71">
        <f t="shared" si="150"/>
        <v>15000000</v>
      </c>
      <c r="N197" s="71">
        <f t="shared" si="150"/>
        <v>22500000</v>
      </c>
      <c r="O197" s="71">
        <f t="shared" si="150"/>
        <v>26250000</v>
      </c>
      <c r="P197" s="71">
        <f t="shared" si="150"/>
        <v>63750000</v>
      </c>
      <c r="Q197" s="71"/>
      <c r="R197" s="71">
        <f t="shared" si="151"/>
        <v>21000000</v>
      </c>
      <c r="S197" s="71">
        <f t="shared" si="151"/>
        <v>31500000</v>
      </c>
      <c r="T197" s="71">
        <f t="shared" si="151"/>
        <v>36750000</v>
      </c>
      <c r="U197" s="71">
        <f t="shared" si="151"/>
        <v>89250000</v>
      </c>
      <c r="V197" s="71"/>
      <c r="W197" s="71">
        <f t="shared" si="152"/>
        <v>27000000</v>
      </c>
      <c r="X197" s="71">
        <f t="shared" si="152"/>
        <v>40500000</v>
      </c>
      <c r="Y197" s="71">
        <f t="shared" si="152"/>
        <v>47250000</v>
      </c>
      <c r="Z197" s="71">
        <f t="shared" si="152"/>
        <v>114750000</v>
      </c>
    </row>
    <row r="198" spans="1:26" hidden="1" outlineLevel="1" x14ac:dyDescent="0.3">
      <c r="A198" s="3" t="s">
        <v>11</v>
      </c>
      <c r="C198" s="71">
        <f t="shared" si="148"/>
        <v>2520000</v>
      </c>
      <c r="D198" s="71">
        <f t="shared" si="148"/>
        <v>4185000</v>
      </c>
      <c r="E198" s="71">
        <f t="shared" si="148"/>
        <v>5355000</v>
      </c>
      <c r="F198" s="71">
        <f t="shared" si="148"/>
        <v>12060000</v>
      </c>
      <c r="G198" s="71"/>
      <c r="H198" s="71">
        <f t="shared" si="149"/>
        <v>7560000</v>
      </c>
      <c r="I198" s="71">
        <f t="shared" si="149"/>
        <v>12555000</v>
      </c>
      <c r="J198" s="71">
        <f t="shared" si="149"/>
        <v>16065000</v>
      </c>
      <c r="K198" s="71">
        <f t="shared" si="149"/>
        <v>36180000</v>
      </c>
      <c r="L198" s="71"/>
      <c r="M198" s="71">
        <f t="shared" si="150"/>
        <v>12600000</v>
      </c>
      <c r="N198" s="71">
        <f t="shared" si="150"/>
        <v>20925000</v>
      </c>
      <c r="O198" s="71">
        <f t="shared" si="150"/>
        <v>26775000</v>
      </c>
      <c r="P198" s="71">
        <f t="shared" si="150"/>
        <v>60300000</v>
      </c>
      <c r="Q198" s="71"/>
      <c r="R198" s="71">
        <f t="shared" si="151"/>
        <v>17640000</v>
      </c>
      <c r="S198" s="71">
        <f t="shared" si="151"/>
        <v>29295000</v>
      </c>
      <c r="T198" s="71">
        <f t="shared" si="151"/>
        <v>37485000</v>
      </c>
      <c r="U198" s="71">
        <f t="shared" si="151"/>
        <v>84420000</v>
      </c>
      <c r="V198" s="71"/>
      <c r="W198" s="71">
        <f t="shared" si="152"/>
        <v>22680000</v>
      </c>
      <c r="X198" s="71">
        <f t="shared" si="152"/>
        <v>37665000</v>
      </c>
      <c r="Y198" s="71">
        <f t="shared" si="152"/>
        <v>48195000</v>
      </c>
      <c r="Z198" s="71">
        <f t="shared" si="152"/>
        <v>108540000</v>
      </c>
    </row>
    <row r="199" spans="1:26" hidden="1" outlineLevel="1" x14ac:dyDescent="0.3">
      <c r="A199" s="3" t="s">
        <v>12</v>
      </c>
      <c r="C199" s="71">
        <f t="shared" si="148"/>
        <v>1938000</v>
      </c>
      <c r="D199" s="71">
        <f t="shared" si="148"/>
        <v>3343500</v>
      </c>
      <c r="E199" s="71">
        <f t="shared" si="148"/>
        <v>4226250</v>
      </c>
      <c r="F199" s="71">
        <f t="shared" si="148"/>
        <v>9507750</v>
      </c>
      <c r="G199" s="71"/>
      <c r="H199" s="71">
        <f t="shared" si="149"/>
        <v>5814000</v>
      </c>
      <c r="I199" s="71">
        <f t="shared" si="149"/>
        <v>10030500</v>
      </c>
      <c r="J199" s="71">
        <f t="shared" si="149"/>
        <v>12678750</v>
      </c>
      <c r="K199" s="71">
        <f t="shared" si="149"/>
        <v>28523250</v>
      </c>
      <c r="L199" s="71"/>
      <c r="M199" s="71">
        <f t="shared" si="150"/>
        <v>9690000</v>
      </c>
      <c r="N199" s="71">
        <f t="shared" si="150"/>
        <v>16717500</v>
      </c>
      <c r="O199" s="71">
        <f t="shared" si="150"/>
        <v>21131250</v>
      </c>
      <c r="P199" s="71">
        <f t="shared" si="150"/>
        <v>47538750</v>
      </c>
      <c r="Q199" s="71"/>
      <c r="R199" s="71">
        <f t="shared" si="151"/>
        <v>13566000</v>
      </c>
      <c r="S199" s="71">
        <f t="shared" si="151"/>
        <v>23404500</v>
      </c>
      <c r="T199" s="71">
        <f t="shared" si="151"/>
        <v>29583750</v>
      </c>
      <c r="U199" s="71">
        <f t="shared" si="151"/>
        <v>66554250</v>
      </c>
      <c r="V199" s="71"/>
      <c r="W199" s="71">
        <f t="shared" si="152"/>
        <v>17442000</v>
      </c>
      <c r="X199" s="71">
        <f t="shared" si="152"/>
        <v>30091500</v>
      </c>
      <c r="Y199" s="71">
        <f t="shared" si="152"/>
        <v>38036250</v>
      </c>
      <c r="Z199" s="71">
        <f t="shared" si="152"/>
        <v>85569750</v>
      </c>
    </row>
    <row r="200" spans="1:26" hidden="1" outlineLevel="1" x14ac:dyDescent="0.3">
      <c r="A200" s="3" t="s">
        <v>13</v>
      </c>
      <c r="C200" s="71">
        <f t="shared" si="148"/>
        <v>810000</v>
      </c>
      <c r="D200" s="71">
        <f t="shared" si="148"/>
        <v>2052000</v>
      </c>
      <c r="E200" s="71">
        <f t="shared" si="148"/>
        <v>3053250</v>
      </c>
      <c r="F200" s="71">
        <f t="shared" si="148"/>
        <v>5915250</v>
      </c>
      <c r="G200" s="71"/>
      <c r="H200" s="71">
        <f t="shared" si="149"/>
        <v>2430000</v>
      </c>
      <c r="I200" s="71">
        <f t="shared" si="149"/>
        <v>6156000</v>
      </c>
      <c r="J200" s="71">
        <f t="shared" si="149"/>
        <v>9159750</v>
      </c>
      <c r="K200" s="71">
        <f t="shared" si="149"/>
        <v>17745750</v>
      </c>
      <c r="L200" s="71"/>
      <c r="M200" s="71">
        <f t="shared" si="150"/>
        <v>4050000</v>
      </c>
      <c r="N200" s="71">
        <f t="shared" si="150"/>
        <v>10260000</v>
      </c>
      <c r="O200" s="71">
        <f t="shared" si="150"/>
        <v>15266250</v>
      </c>
      <c r="P200" s="71">
        <f t="shared" si="150"/>
        <v>29576250</v>
      </c>
      <c r="Q200" s="71"/>
      <c r="R200" s="71">
        <f t="shared" si="151"/>
        <v>5670000</v>
      </c>
      <c r="S200" s="71">
        <f t="shared" si="151"/>
        <v>14364000</v>
      </c>
      <c r="T200" s="71">
        <f t="shared" si="151"/>
        <v>21372750</v>
      </c>
      <c r="U200" s="71">
        <f t="shared" si="151"/>
        <v>41406750</v>
      </c>
      <c r="V200" s="71"/>
      <c r="W200" s="71">
        <f t="shared" si="152"/>
        <v>7290000</v>
      </c>
      <c r="X200" s="71">
        <f t="shared" si="152"/>
        <v>18468000</v>
      </c>
      <c r="Y200" s="71">
        <f t="shared" si="152"/>
        <v>27479250</v>
      </c>
      <c r="Z200" s="71">
        <f t="shared" si="152"/>
        <v>53237250</v>
      </c>
    </row>
    <row r="201" spans="1:26" hidden="1" outlineLevel="1" x14ac:dyDescent="0.3"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s="5" customFormat="1" hidden="1" outlineLevel="1" x14ac:dyDescent="0.3">
      <c r="C202" s="67"/>
      <c r="D202" s="67"/>
      <c r="E202" s="67"/>
      <c r="F202" s="67"/>
      <c r="G202" s="67"/>
      <c r="H202" s="67"/>
      <c r="I202" s="67"/>
      <c r="J202" s="67"/>
      <c r="K202" s="67"/>
      <c r="L202" s="67"/>
      <c r="M202" s="67"/>
      <c r="N202" s="211">
        <v>0.1</v>
      </c>
      <c r="O202" s="211"/>
      <c r="P202" s="211"/>
      <c r="Q202" s="67"/>
      <c r="R202" s="67"/>
      <c r="S202" s="211">
        <v>0.1</v>
      </c>
      <c r="T202" s="211"/>
      <c r="U202" s="211"/>
      <c r="V202" s="67"/>
      <c r="W202" s="67"/>
      <c r="X202" s="211">
        <v>0.1</v>
      </c>
      <c r="Y202" s="211"/>
      <c r="Z202" s="211"/>
    </row>
    <row r="203" spans="1:26" ht="17.25" hidden="1" outlineLevel="1" x14ac:dyDescent="0.35">
      <c r="A203" s="13" t="s">
        <v>39</v>
      </c>
      <c r="B203" s="4"/>
      <c r="C203" s="71"/>
      <c r="D203" s="71" t="s">
        <v>55</v>
      </c>
      <c r="E203" s="71" t="s">
        <v>56</v>
      </c>
      <c r="F203" s="71" t="s">
        <v>57</v>
      </c>
      <c r="G203" s="71"/>
      <c r="H203" s="71"/>
      <c r="I203" s="71" t="s">
        <v>55</v>
      </c>
      <c r="J203" s="71" t="s">
        <v>56</v>
      </c>
      <c r="K203" s="71" t="s">
        <v>57</v>
      </c>
      <c r="L203" s="71"/>
      <c r="M203" s="71"/>
      <c r="N203" s="71" t="s">
        <v>55</v>
      </c>
      <c r="O203" s="71" t="s">
        <v>56</v>
      </c>
      <c r="P203" s="71" t="s">
        <v>57</v>
      </c>
      <c r="Q203" s="71"/>
      <c r="R203" s="68"/>
      <c r="S203" s="71" t="s">
        <v>55</v>
      </c>
      <c r="T203" s="71" t="s">
        <v>56</v>
      </c>
      <c r="U203" s="71" t="s">
        <v>57</v>
      </c>
      <c r="V203" s="68"/>
      <c r="W203" s="68"/>
      <c r="X203" s="71" t="s">
        <v>55</v>
      </c>
      <c r="Y203" s="71" t="s">
        <v>56</v>
      </c>
      <c r="Z203" s="71" t="s">
        <v>57</v>
      </c>
    </row>
    <row r="204" spans="1:26" hidden="1" outlineLevel="1" x14ac:dyDescent="0.3">
      <c r="A204" s="14" t="s">
        <v>40</v>
      </c>
      <c r="B204" s="14"/>
      <c r="C204" s="71"/>
      <c r="D204" s="71">
        <f>IFERROR(CHOOSE($B$4,D18,D80,D142),"")</f>
        <v>150000</v>
      </c>
      <c r="E204" s="71">
        <f>IFERROR(CHOOSE($B$4,E18,E80,E142),"")</f>
        <v>14</v>
      </c>
      <c r="F204" s="71">
        <f>D204*E204*12</f>
        <v>25200000</v>
      </c>
      <c r="G204" s="71"/>
      <c r="H204" s="71"/>
      <c r="I204" s="71">
        <f>IFERROR(CHOOSE($B$4,I18,I80,I142),"")</f>
        <v>150000</v>
      </c>
      <c r="J204" s="71">
        <f>IFERROR(CHOOSE($B$4,J18,J80,J142),"")</f>
        <v>25</v>
      </c>
      <c r="K204" s="71">
        <f>I204*J204*12</f>
        <v>45000000</v>
      </c>
      <c r="L204" s="71"/>
      <c r="M204" s="71"/>
      <c r="N204" s="71">
        <f>IFERROR(CHOOSE($B$4,N18,N80,N142),"")</f>
        <v>165000</v>
      </c>
      <c r="O204" s="71">
        <f>IFERROR(CHOOSE($B$4,O18,O80,O142),"")</f>
        <v>34</v>
      </c>
      <c r="P204" s="71">
        <f>N204*O204*12</f>
        <v>67320000</v>
      </c>
      <c r="Q204" s="71"/>
      <c r="R204" s="68"/>
      <c r="S204" s="71">
        <f>IFERROR(CHOOSE($B$4,S18,S80,S142),"")</f>
        <v>165000</v>
      </c>
      <c r="T204" s="71">
        <f>IFERROR(CHOOSE($B$4,T18,T80,T142),"")</f>
        <v>43</v>
      </c>
      <c r="U204" s="71">
        <f>S204*T204*12</f>
        <v>85140000</v>
      </c>
      <c r="V204" s="68"/>
      <c r="W204" s="68"/>
      <c r="X204" s="71">
        <f>IFERROR(CHOOSE($B$4,X18,X80,X142),"")</f>
        <v>181500.00000000003</v>
      </c>
      <c r="Y204" s="71">
        <f>IFERROR(CHOOSE($B$4,Y18,Y80,Y142),"")</f>
        <v>52</v>
      </c>
      <c r="Z204" s="71">
        <f>X204*Y204*12</f>
        <v>113256000.00000003</v>
      </c>
    </row>
    <row r="205" spans="1:26" hidden="1" outlineLevel="1" x14ac:dyDescent="0.3">
      <c r="A205" s="14" t="s">
        <v>41</v>
      </c>
      <c r="B205" s="14"/>
      <c r="C205" s="71"/>
      <c r="D205" s="71">
        <f t="shared" ref="D205:E221" si="153">IFERROR(CHOOSE($B$4,D19,D81,D143),"")</f>
        <v>350000</v>
      </c>
      <c r="E205" s="71">
        <f t="shared" si="153"/>
        <v>4</v>
      </c>
      <c r="F205" s="71">
        <f t="shared" ref="F205:F212" si="154">D205*E205*12</f>
        <v>16800000</v>
      </c>
      <c r="G205" s="71"/>
      <c r="H205" s="71"/>
      <c r="I205" s="71">
        <f t="shared" ref="I205:J221" si="155">IFERROR(CHOOSE($B$4,I19,I81,I143),"")</f>
        <v>350000</v>
      </c>
      <c r="J205" s="71">
        <f t="shared" si="155"/>
        <v>10</v>
      </c>
      <c r="K205" s="71">
        <f t="shared" ref="K205:K212" si="156">I205*J205*12</f>
        <v>42000000</v>
      </c>
      <c r="L205" s="71"/>
      <c r="M205" s="71"/>
      <c r="N205" s="71">
        <f t="shared" ref="N205:O221" si="157">IFERROR(CHOOSE($B$4,N19,N81,N143),"")</f>
        <v>385000.00000000006</v>
      </c>
      <c r="O205" s="71">
        <f t="shared" si="157"/>
        <v>16</v>
      </c>
      <c r="P205" s="71">
        <f t="shared" ref="P205:P212" si="158">N205*O205*12</f>
        <v>73920000.000000015</v>
      </c>
      <c r="Q205" s="71"/>
      <c r="R205" s="68"/>
      <c r="S205" s="71">
        <f t="shared" ref="S205:T221" si="159">IFERROR(CHOOSE($B$4,S19,S81,S143),"")</f>
        <v>385000.00000000006</v>
      </c>
      <c r="T205" s="71">
        <f t="shared" si="159"/>
        <v>22</v>
      </c>
      <c r="U205" s="71">
        <f t="shared" ref="U205:U212" si="160">S205*T205*12</f>
        <v>101640000.00000003</v>
      </c>
      <c r="V205" s="68"/>
      <c r="W205" s="68"/>
      <c r="X205" s="71">
        <f t="shared" ref="X205:Y205" si="161">IFERROR(CHOOSE($B$4,X19,X81,X143),"")</f>
        <v>423500.00000000012</v>
      </c>
      <c r="Y205" s="71">
        <f t="shared" si="161"/>
        <v>28</v>
      </c>
      <c r="Z205" s="71">
        <f t="shared" ref="Z205:Z212" si="162">X205*Y205*12</f>
        <v>142296000.00000006</v>
      </c>
    </row>
    <row r="206" spans="1:26" hidden="1" outlineLevel="1" x14ac:dyDescent="0.3">
      <c r="A206" s="14" t="s">
        <v>42</v>
      </c>
      <c r="B206" s="14"/>
      <c r="C206" s="71"/>
      <c r="D206" s="71">
        <f t="shared" si="153"/>
        <v>500000</v>
      </c>
      <c r="E206" s="71">
        <f t="shared" si="153"/>
        <v>1</v>
      </c>
      <c r="F206" s="71">
        <f t="shared" si="154"/>
        <v>6000000</v>
      </c>
      <c r="G206" s="71"/>
      <c r="H206" s="71"/>
      <c r="I206" s="71">
        <f t="shared" si="155"/>
        <v>500000</v>
      </c>
      <c r="J206" s="71">
        <f t="shared" si="155"/>
        <v>1</v>
      </c>
      <c r="K206" s="71">
        <f t="shared" si="156"/>
        <v>6000000</v>
      </c>
      <c r="L206" s="71"/>
      <c r="M206" s="71"/>
      <c r="N206" s="71">
        <f t="shared" si="157"/>
        <v>550000</v>
      </c>
      <c r="O206" s="71">
        <f t="shared" si="157"/>
        <v>1</v>
      </c>
      <c r="P206" s="71">
        <f t="shared" si="158"/>
        <v>6600000</v>
      </c>
      <c r="Q206" s="71"/>
      <c r="R206" s="68"/>
      <c r="S206" s="71">
        <f t="shared" si="159"/>
        <v>550000</v>
      </c>
      <c r="T206" s="71">
        <f t="shared" si="159"/>
        <v>1</v>
      </c>
      <c r="U206" s="71">
        <f t="shared" si="160"/>
        <v>6600000</v>
      </c>
      <c r="V206" s="68"/>
      <c r="W206" s="68"/>
      <c r="X206" s="71">
        <f t="shared" ref="X206:Y206" si="163">IFERROR(CHOOSE($B$4,X20,X82,X144),"")</f>
        <v>605000</v>
      </c>
      <c r="Y206" s="71">
        <f t="shared" si="163"/>
        <v>1</v>
      </c>
      <c r="Z206" s="71">
        <f t="shared" si="162"/>
        <v>7260000</v>
      </c>
    </row>
    <row r="207" spans="1:26" hidden="1" outlineLevel="1" x14ac:dyDescent="0.3">
      <c r="A207" s="14" t="s">
        <v>43</v>
      </c>
      <c r="B207" s="14"/>
      <c r="C207" s="71"/>
      <c r="D207" s="71">
        <f t="shared" si="153"/>
        <v>400000</v>
      </c>
      <c r="E207" s="71">
        <f t="shared" si="153"/>
        <v>1</v>
      </c>
      <c r="F207" s="71">
        <f t="shared" si="154"/>
        <v>4800000</v>
      </c>
      <c r="G207" s="71"/>
      <c r="H207" s="71"/>
      <c r="I207" s="71">
        <f t="shared" si="155"/>
        <v>400000</v>
      </c>
      <c r="J207" s="71">
        <f t="shared" si="155"/>
        <v>1</v>
      </c>
      <c r="K207" s="71">
        <f t="shared" si="156"/>
        <v>4800000</v>
      </c>
      <c r="L207" s="71"/>
      <c r="M207" s="71"/>
      <c r="N207" s="71">
        <f t="shared" si="157"/>
        <v>440000.00000000006</v>
      </c>
      <c r="O207" s="71">
        <f t="shared" si="157"/>
        <v>1</v>
      </c>
      <c r="P207" s="71">
        <f t="shared" si="158"/>
        <v>5280000.0000000009</v>
      </c>
      <c r="Q207" s="71"/>
      <c r="R207" s="68"/>
      <c r="S207" s="71">
        <f t="shared" si="159"/>
        <v>440000.00000000006</v>
      </c>
      <c r="T207" s="71">
        <f t="shared" si="159"/>
        <v>1</v>
      </c>
      <c r="U207" s="71">
        <f t="shared" si="160"/>
        <v>5280000.0000000009</v>
      </c>
      <c r="V207" s="68"/>
      <c r="W207" s="68"/>
      <c r="X207" s="71">
        <f t="shared" ref="X207:Y207" si="164">IFERROR(CHOOSE($B$4,X21,X83,X145),"")</f>
        <v>484000.00000000012</v>
      </c>
      <c r="Y207" s="71">
        <f t="shared" si="164"/>
        <v>1</v>
      </c>
      <c r="Z207" s="71">
        <f t="shared" si="162"/>
        <v>5808000.0000000019</v>
      </c>
    </row>
    <row r="208" spans="1:26" hidden="1" outlineLevel="1" x14ac:dyDescent="0.3">
      <c r="A208" s="3" t="s">
        <v>44</v>
      </c>
      <c r="C208" s="71"/>
      <c r="D208" s="71">
        <f t="shared" si="153"/>
        <v>300000</v>
      </c>
      <c r="E208" s="71">
        <f t="shared" si="153"/>
        <v>1</v>
      </c>
      <c r="F208" s="71">
        <f t="shared" si="154"/>
        <v>3600000</v>
      </c>
      <c r="G208" s="71"/>
      <c r="H208" s="71"/>
      <c r="I208" s="71">
        <f t="shared" si="155"/>
        <v>300000</v>
      </c>
      <c r="J208" s="71">
        <f t="shared" si="155"/>
        <v>1</v>
      </c>
      <c r="K208" s="71">
        <f t="shared" si="156"/>
        <v>3600000</v>
      </c>
      <c r="L208" s="71"/>
      <c r="M208" s="71"/>
      <c r="N208" s="71">
        <f t="shared" si="157"/>
        <v>330000</v>
      </c>
      <c r="O208" s="71">
        <f t="shared" si="157"/>
        <v>1</v>
      </c>
      <c r="P208" s="71">
        <f t="shared" si="158"/>
        <v>3960000</v>
      </c>
      <c r="Q208" s="71"/>
      <c r="R208" s="68"/>
      <c r="S208" s="71">
        <f t="shared" si="159"/>
        <v>330000</v>
      </c>
      <c r="T208" s="71">
        <f t="shared" si="159"/>
        <v>1</v>
      </c>
      <c r="U208" s="71">
        <f t="shared" si="160"/>
        <v>3960000</v>
      </c>
      <c r="V208" s="68"/>
      <c r="W208" s="68"/>
      <c r="X208" s="71">
        <f t="shared" ref="X208:Y208" si="165">IFERROR(CHOOSE($B$4,X22,X84,X146),"")</f>
        <v>363000.00000000006</v>
      </c>
      <c r="Y208" s="71">
        <f t="shared" si="165"/>
        <v>1</v>
      </c>
      <c r="Z208" s="71">
        <f t="shared" si="162"/>
        <v>4356000.0000000009</v>
      </c>
    </row>
    <row r="209" spans="1:26" hidden="1" outlineLevel="1" x14ac:dyDescent="0.3">
      <c r="A209" s="3" t="s">
        <v>45</v>
      </c>
      <c r="C209" s="71"/>
      <c r="D209" s="71">
        <f t="shared" si="153"/>
        <v>300000</v>
      </c>
      <c r="E209" s="71">
        <f t="shared" si="153"/>
        <v>1</v>
      </c>
      <c r="F209" s="71">
        <f t="shared" si="154"/>
        <v>3600000</v>
      </c>
      <c r="G209" s="71"/>
      <c r="H209" s="71"/>
      <c r="I209" s="71">
        <f t="shared" si="155"/>
        <v>300000</v>
      </c>
      <c r="J209" s="71">
        <f t="shared" si="155"/>
        <v>1</v>
      </c>
      <c r="K209" s="71">
        <f t="shared" si="156"/>
        <v>3600000</v>
      </c>
      <c r="L209" s="71"/>
      <c r="M209" s="71"/>
      <c r="N209" s="71">
        <f t="shared" si="157"/>
        <v>330000</v>
      </c>
      <c r="O209" s="71">
        <f t="shared" si="157"/>
        <v>1</v>
      </c>
      <c r="P209" s="71">
        <f t="shared" si="158"/>
        <v>3960000</v>
      </c>
      <c r="Q209" s="71"/>
      <c r="R209" s="68"/>
      <c r="S209" s="71">
        <f t="shared" si="159"/>
        <v>330000</v>
      </c>
      <c r="T209" s="71">
        <f t="shared" si="159"/>
        <v>1</v>
      </c>
      <c r="U209" s="71">
        <f t="shared" si="160"/>
        <v>3960000</v>
      </c>
      <c r="V209" s="68"/>
      <c r="W209" s="68"/>
      <c r="X209" s="71">
        <f t="shared" ref="X209:Y209" si="166">IFERROR(CHOOSE($B$4,X23,X85,X147),"")</f>
        <v>363000.00000000006</v>
      </c>
      <c r="Y209" s="71">
        <f t="shared" si="166"/>
        <v>1</v>
      </c>
      <c r="Z209" s="71">
        <f t="shared" si="162"/>
        <v>4356000.0000000009</v>
      </c>
    </row>
    <row r="210" spans="1:26" hidden="1" outlineLevel="1" x14ac:dyDescent="0.3">
      <c r="A210" s="3" t="s">
        <v>46</v>
      </c>
      <c r="C210" s="71"/>
      <c r="D210" s="71">
        <f t="shared" si="153"/>
        <v>300000</v>
      </c>
      <c r="E210" s="71">
        <f t="shared" si="153"/>
        <v>1</v>
      </c>
      <c r="F210" s="71">
        <f t="shared" si="154"/>
        <v>3600000</v>
      </c>
      <c r="G210" s="71"/>
      <c r="H210" s="71"/>
      <c r="I210" s="71">
        <f t="shared" si="155"/>
        <v>300000</v>
      </c>
      <c r="J210" s="71">
        <f t="shared" si="155"/>
        <v>1</v>
      </c>
      <c r="K210" s="71">
        <f t="shared" si="156"/>
        <v>3600000</v>
      </c>
      <c r="L210" s="71"/>
      <c r="M210" s="71"/>
      <c r="N210" s="71">
        <f t="shared" si="157"/>
        <v>330000</v>
      </c>
      <c r="O210" s="71">
        <f t="shared" si="157"/>
        <v>1</v>
      </c>
      <c r="P210" s="71">
        <f t="shared" si="158"/>
        <v>3960000</v>
      </c>
      <c r="Q210" s="71"/>
      <c r="R210" s="68"/>
      <c r="S210" s="71">
        <f t="shared" si="159"/>
        <v>330000</v>
      </c>
      <c r="T210" s="71">
        <f t="shared" si="159"/>
        <v>1</v>
      </c>
      <c r="U210" s="71">
        <f t="shared" si="160"/>
        <v>3960000</v>
      </c>
      <c r="V210" s="68"/>
      <c r="W210" s="68"/>
      <c r="X210" s="71">
        <f t="shared" ref="X210:Y210" si="167">IFERROR(CHOOSE($B$4,X24,X86,X148),"")</f>
        <v>363000.00000000006</v>
      </c>
      <c r="Y210" s="71">
        <f t="shared" si="167"/>
        <v>1</v>
      </c>
      <c r="Z210" s="71">
        <f t="shared" si="162"/>
        <v>4356000.0000000009</v>
      </c>
    </row>
    <row r="211" spans="1:26" hidden="1" outlineLevel="1" x14ac:dyDescent="0.3">
      <c r="A211" s="14" t="s">
        <v>48</v>
      </c>
      <c r="B211" s="14"/>
      <c r="C211" s="71"/>
      <c r="D211" s="71">
        <f t="shared" si="153"/>
        <v>30000</v>
      </c>
      <c r="E211" s="71">
        <f t="shared" si="153"/>
        <v>10</v>
      </c>
      <c r="F211" s="71">
        <f t="shared" si="154"/>
        <v>3600000</v>
      </c>
      <c r="G211" s="71"/>
      <c r="H211" s="71"/>
      <c r="I211" s="71">
        <f t="shared" si="155"/>
        <v>30000</v>
      </c>
      <c r="J211" s="71">
        <f t="shared" si="155"/>
        <v>18</v>
      </c>
      <c r="K211" s="71">
        <f t="shared" si="156"/>
        <v>6480000</v>
      </c>
      <c r="L211" s="71"/>
      <c r="M211" s="71"/>
      <c r="N211" s="71">
        <f t="shared" si="157"/>
        <v>33000</v>
      </c>
      <c r="O211" s="71">
        <f t="shared" si="157"/>
        <v>20</v>
      </c>
      <c r="P211" s="71">
        <f t="shared" si="158"/>
        <v>7920000</v>
      </c>
      <c r="Q211" s="71"/>
      <c r="R211" s="68"/>
      <c r="S211" s="71">
        <f t="shared" si="159"/>
        <v>33000</v>
      </c>
      <c r="T211" s="71">
        <f t="shared" si="159"/>
        <v>22</v>
      </c>
      <c r="U211" s="71">
        <f t="shared" si="160"/>
        <v>8712000</v>
      </c>
      <c r="V211" s="68"/>
      <c r="W211" s="68"/>
      <c r="X211" s="71">
        <f t="shared" ref="X211:Y211" si="168">IFERROR(CHOOSE($B$4,X25,X87,X149),"")</f>
        <v>36300</v>
      </c>
      <c r="Y211" s="71">
        <f t="shared" si="168"/>
        <v>24</v>
      </c>
      <c r="Z211" s="71">
        <f t="shared" si="162"/>
        <v>10454400</v>
      </c>
    </row>
    <row r="212" spans="1:26" hidden="1" outlineLevel="1" x14ac:dyDescent="0.3">
      <c r="A212" s="14" t="s">
        <v>47</v>
      </c>
      <c r="B212" s="14"/>
      <c r="C212" s="71"/>
      <c r="D212" s="71">
        <f t="shared" si="153"/>
        <v>60000</v>
      </c>
      <c r="E212" s="71">
        <f t="shared" si="153"/>
        <v>5</v>
      </c>
      <c r="F212" s="71">
        <f t="shared" si="154"/>
        <v>3600000</v>
      </c>
      <c r="G212" s="71"/>
      <c r="H212" s="71"/>
      <c r="I212" s="71">
        <f t="shared" si="155"/>
        <v>60000</v>
      </c>
      <c r="J212" s="71">
        <f t="shared" si="155"/>
        <v>8</v>
      </c>
      <c r="K212" s="71">
        <f t="shared" si="156"/>
        <v>5760000</v>
      </c>
      <c r="L212" s="71"/>
      <c r="M212" s="71"/>
      <c r="N212" s="71">
        <f t="shared" si="157"/>
        <v>66000</v>
      </c>
      <c r="O212" s="71">
        <f t="shared" si="157"/>
        <v>8</v>
      </c>
      <c r="P212" s="71">
        <f t="shared" si="158"/>
        <v>6336000</v>
      </c>
      <c r="Q212" s="71"/>
      <c r="R212" s="68"/>
      <c r="S212" s="71">
        <f t="shared" si="159"/>
        <v>66000</v>
      </c>
      <c r="T212" s="71">
        <f t="shared" si="159"/>
        <v>11</v>
      </c>
      <c r="U212" s="71">
        <f t="shared" si="160"/>
        <v>8712000</v>
      </c>
      <c r="V212" s="68"/>
      <c r="W212" s="68"/>
      <c r="X212" s="71">
        <f t="shared" ref="X212:Y212" si="169">IFERROR(CHOOSE($B$4,X26,X88,X150),"")</f>
        <v>72600</v>
      </c>
      <c r="Y212" s="71">
        <f t="shared" si="169"/>
        <v>11</v>
      </c>
      <c r="Z212" s="71">
        <f t="shared" si="162"/>
        <v>9583200</v>
      </c>
    </row>
    <row r="213" spans="1:26" hidden="1" outlineLevel="1" x14ac:dyDescent="0.3">
      <c r="A213" s="3" t="s">
        <v>49</v>
      </c>
      <c r="C213" s="71"/>
      <c r="D213" s="71">
        <f t="shared" si="153"/>
        <v>200000</v>
      </c>
      <c r="E213" s="71">
        <f t="shared" si="153"/>
        <v>0</v>
      </c>
      <c r="F213" s="71">
        <f>D213*12</f>
        <v>2400000</v>
      </c>
      <c r="G213" s="71"/>
      <c r="H213" s="71"/>
      <c r="I213" s="71">
        <f t="shared" si="155"/>
        <v>300000</v>
      </c>
      <c r="J213" s="71">
        <f t="shared" si="155"/>
        <v>0</v>
      </c>
      <c r="K213" s="71">
        <f>I213*12</f>
        <v>3600000</v>
      </c>
      <c r="L213" s="71"/>
      <c r="M213" s="71"/>
      <c r="N213" s="71">
        <f t="shared" si="157"/>
        <v>0</v>
      </c>
      <c r="O213" s="71">
        <f t="shared" si="157"/>
        <v>0</v>
      </c>
      <c r="P213" s="71">
        <f>N213*12</f>
        <v>0</v>
      </c>
      <c r="Q213" s="71"/>
      <c r="R213" s="68"/>
      <c r="S213" s="71">
        <f t="shared" si="159"/>
        <v>0</v>
      </c>
      <c r="T213" s="71">
        <f t="shared" si="159"/>
        <v>0</v>
      </c>
      <c r="U213" s="71">
        <f>S213*12</f>
        <v>0</v>
      </c>
      <c r="V213" s="68"/>
      <c r="W213" s="68"/>
      <c r="X213" s="71">
        <f t="shared" ref="X213:Y213" si="170">IFERROR(CHOOSE($B$4,X27,X89,X151),"")</f>
        <v>0</v>
      </c>
      <c r="Y213" s="71">
        <f t="shared" si="170"/>
        <v>0</v>
      </c>
      <c r="Z213" s="71">
        <f>X213*12</f>
        <v>0</v>
      </c>
    </row>
    <row r="214" spans="1:26" hidden="1" outlineLevel="1" x14ac:dyDescent="0.3">
      <c r="A214" s="3" t="s">
        <v>50</v>
      </c>
      <c r="C214" s="71"/>
      <c r="D214" s="71">
        <f t="shared" si="153"/>
        <v>100000</v>
      </c>
      <c r="E214" s="71">
        <f t="shared" si="153"/>
        <v>0</v>
      </c>
      <c r="F214" s="71">
        <f>D214*12</f>
        <v>1200000</v>
      </c>
      <c r="G214" s="71"/>
      <c r="H214" s="71"/>
      <c r="I214" s="71">
        <f t="shared" si="155"/>
        <v>100000</v>
      </c>
      <c r="J214" s="71">
        <f t="shared" si="155"/>
        <v>0</v>
      </c>
      <c r="K214" s="71">
        <f>I214*12</f>
        <v>1200000</v>
      </c>
      <c r="L214" s="71"/>
      <c r="M214" s="71"/>
      <c r="N214" s="71">
        <f t="shared" si="157"/>
        <v>100000</v>
      </c>
      <c r="O214" s="71">
        <f t="shared" si="157"/>
        <v>0</v>
      </c>
      <c r="P214" s="71">
        <f>N214*12</f>
        <v>1200000</v>
      </c>
      <c r="Q214" s="71"/>
      <c r="R214" s="68"/>
      <c r="S214" s="71">
        <f t="shared" si="159"/>
        <v>100000</v>
      </c>
      <c r="T214" s="71">
        <f t="shared" si="159"/>
        <v>0</v>
      </c>
      <c r="U214" s="71">
        <f>S214*12</f>
        <v>1200000</v>
      </c>
      <c r="V214" s="68"/>
      <c r="W214" s="68"/>
      <c r="X214" s="71">
        <f t="shared" ref="X214:Y214" si="171">IFERROR(CHOOSE($B$4,X28,X90,X152),"")</f>
        <v>100000</v>
      </c>
      <c r="Y214" s="71">
        <f t="shared" si="171"/>
        <v>0</v>
      </c>
      <c r="Z214" s="71">
        <f>X214*12</f>
        <v>1200000</v>
      </c>
    </row>
    <row r="215" spans="1:26" ht="17.25" hidden="1" outlineLevel="1" thickBot="1" x14ac:dyDescent="0.35">
      <c r="C215" s="71"/>
      <c r="D215" s="71">
        <f t="shared" si="153"/>
        <v>0</v>
      </c>
      <c r="E215" s="71">
        <f t="shared" si="153"/>
        <v>0</v>
      </c>
      <c r="F215" s="72">
        <f>SUM(F204:F214)</f>
        <v>74400000</v>
      </c>
      <c r="G215" s="71"/>
      <c r="H215" s="71"/>
      <c r="I215" s="71">
        <f t="shared" si="155"/>
        <v>0</v>
      </c>
      <c r="J215" s="71">
        <f t="shared" si="155"/>
        <v>0</v>
      </c>
      <c r="K215" s="72">
        <f>SUM(K204:K214)</f>
        <v>125640000</v>
      </c>
      <c r="L215" s="71"/>
      <c r="M215" s="71"/>
      <c r="N215" s="71">
        <f t="shared" si="157"/>
        <v>0</v>
      </c>
      <c r="O215" s="71">
        <f t="shared" si="157"/>
        <v>0</v>
      </c>
      <c r="P215" s="72">
        <f>SUM(P204:P214)</f>
        <v>180456000</v>
      </c>
      <c r="Q215" s="71"/>
      <c r="R215" s="68"/>
      <c r="S215" s="71">
        <f t="shared" si="159"/>
        <v>0</v>
      </c>
      <c r="T215" s="71">
        <f t="shared" si="159"/>
        <v>0</v>
      </c>
      <c r="U215" s="72">
        <f>SUM(U204:U214)</f>
        <v>229164000.00000003</v>
      </c>
      <c r="V215" s="68"/>
      <c r="W215" s="68"/>
      <c r="X215" s="71">
        <f t="shared" ref="X215:Y215" si="172">IFERROR(CHOOSE($B$4,X29,X91,X153),"")</f>
        <v>0</v>
      </c>
      <c r="Y215" s="71">
        <f t="shared" si="172"/>
        <v>0</v>
      </c>
      <c r="Z215" s="72">
        <f>SUM(Z204:Z214)</f>
        <v>302925600.00000012</v>
      </c>
    </row>
    <row r="216" spans="1:26" ht="17.25" hidden="1" outlineLevel="1" thickTop="1" x14ac:dyDescent="0.3">
      <c r="A216" s="3" t="s">
        <v>51</v>
      </c>
      <c r="C216" s="71"/>
      <c r="D216" s="71">
        <f t="shared" si="153"/>
        <v>39005</v>
      </c>
      <c r="E216" s="71">
        <f t="shared" si="153"/>
        <v>0</v>
      </c>
      <c r="F216" s="71">
        <f>D216*12</f>
        <v>468060</v>
      </c>
      <c r="G216" s="71"/>
      <c r="H216" s="71"/>
      <c r="I216" s="71">
        <f t="shared" si="155"/>
        <v>40455</v>
      </c>
      <c r="J216" s="71">
        <f t="shared" si="155"/>
        <v>0</v>
      </c>
      <c r="K216" s="71">
        <f>I216*12</f>
        <v>485460</v>
      </c>
      <c r="L216" s="71"/>
      <c r="M216" s="71"/>
      <c r="N216" s="71">
        <f t="shared" si="157"/>
        <v>39570.5</v>
      </c>
      <c r="O216" s="71">
        <f t="shared" si="157"/>
        <v>0</v>
      </c>
      <c r="P216" s="71">
        <f>N216*12</f>
        <v>474846</v>
      </c>
      <c r="Q216" s="71"/>
      <c r="R216" s="68"/>
      <c r="S216" s="71">
        <f t="shared" si="159"/>
        <v>39570.5</v>
      </c>
      <c r="T216" s="71">
        <f t="shared" si="159"/>
        <v>0</v>
      </c>
      <c r="U216" s="71">
        <f>S216*12</f>
        <v>474846</v>
      </c>
      <c r="V216" s="68"/>
      <c r="W216" s="68"/>
      <c r="X216" s="71">
        <f t="shared" ref="X216:Y216" si="173">IFERROR(CHOOSE($B$4,X30,X92,X154),"")</f>
        <v>43382.55</v>
      </c>
      <c r="Y216" s="71">
        <f t="shared" si="173"/>
        <v>0</v>
      </c>
      <c r="Z216" s="71">
        <f>X216*12</f>
        <v>520590.60000000003</v>
      </c>
    </row>
    <row r="217" spans="1:26" hidden="1" outlineLevel="1" x14ac:dyDescent="0.3">
      <c r="A217" s="15" t="str">
        <f>"-House"</f>
        <v>-House</v>
      </c>
      <c r="B217" s="15"/>
      <c r="C217" s="71"/>
      <c r="D217" s="71">
        <f t="shared" si="153"/>
        <v>28245</v>
      </c>
      <c r="E217" s="71">
        <f t="shared" si="153"/>
        <v>0</v>
      </c>
      <c r="F217" s="71">
        <f t="shared" ref="F217" si="174">D217*12</f>
        <v>338940</v>
      </c>
      <c r="G217" s="71"/>
      <c r="H217" s="71"/>
      <c r="I217" s="71">
        <f t="shared" si="155"/>
        <v>29295</v>
      </c>
      <c r="J217" s="71">
        <f t="shared" si="155"/>
        <v>0</v>
      </c>
      <c r="K217" s="71">
        <f t="shared" ref="K217" si="175">I217*12</f>
        <v>351540</v>
      </c>
      <c r="L217" s="71"/>
      <c r="M217" s="71"/>
      <c r="N217" s="71">
        <f t="shared" si="157"/>
        <v>28654.5</v>
      </c>
      <c r="O217" s="71">
        <f t="shared" si="157"/>
        <v>0</v>
      </c>
      <c r="P217" s="71">
        <f t="shared" ref="P217" si="176">N217*12</f>
        <v>343854</v>
      </c>
      <c r="Q217" s="71"/>
      <c r="R217" s="68"/>
      <c r="S217" s="71">
        <f t="shared" si="159"/>
        <v>28654.5</v>
      </c>
      <c r="T217" s="71">
        <f t="shared" si="159"/>
        <v>0</v>
      </c>
      <c r="U217" s="71">
        <f t="shared" ref="U217" si="177">S217*12</f>
        <v>343854</v>
      </c>
      <c r="V217" s="68"/>
      <c r="W217" s="68"/>
      <c r="X217" s="71">
        <f t="shared" ref="X217:Y217" si="178">IFERROR(CHOOSE($B$4,X31,X93,X155),"")</f>
        <v>31414.95</v>
      </c>
      <c r="Y217" s="71">
        <f t="shared" si="178"/>
        <v>0</v>
      </c>
      <c r="Z217" s="71">
        <f t="shared" ref="Z217" si="179">X217*12</f>
        <v>376979.4</v>
      </c>
    </row>
    <row r="218" spans="1:26" hidden="1" outlineLevel="1" x14ac:dyDescent="0.3">
      <c r="A218" s="15" t="str">
        <f>"-Transport"</f>
        <v>-Transport</v>
      </c>
      <c r="B218" s="15"/>
      <c r="C218" s="71"/>
      <c r="D218" s="71">
        <f t="shared" si="153"/>
        <v>47075.000000000007</v>
      </c>
      <c r="E218" s="71">
        <f t="shared" si="153"/>
        <v>0</v>
      </c>
      <c r="F218" s="71">
        <f>D218*12</f>
        <v>564900.00000000012</v>
      </c>
      <c r="G218" s="71"/>
      <c r="H218" s="71"/>
      <c r="I218" s="71">
        <f t="shared" si="155"/>
        <v>48825.000000000007</v>
      </c>
      <c r="J218" s="71">
        <f t="shared" si="155"/>
        <v>0</v>
      </c>
      <c r="K218" s="71">
        <f>I218*12</f>
        <v>585900.00000000012</v>
      </c>
      <c r="L218" s="71"/>
      <c r="M218" s="71"/>
      <c r="N218" s="71">
        <f t="shared" si="157"/>
        <v>47757.500000000007</v>
      </c>
      <c r="O218" s="71">
        <f t="shared" si="157"/>
        <v>0</v>
      </c>
      <c r="P218" s="71">
        <f>N218*12</f>
        <v>573090.00000000012</v>
      </c>
      <c r="Q218" s="71"/>
      <c r="R218" s="68"/>
      <c r="S218" s="71">
        <f t="shared" si="159"/>
        <v>47757.500000000007</v>
      </c>
      <c r="T218" s="71">
        <f t="shared" si="159"/>
        <v>0</v>
      </c>
      <c r="U218" s="71">
        <f>S218*12</f>
        <v>573090.00000000012</v>
      </c>
      <c r="V218" s="68"/>
      <c r="W218" s="68"/>
      <c r="X218" s="71">
        <f t="shared" ref="X218:Y218" si="180">IFERROR(CHOOSE($B$4,X32,X94,X156),"")</f>
        <v>52358.250000000007</v>
      </c>
      <c r="Y218" s="71">
        <f t="shared" si="180"/>
        <v>0</v>
      </c>
      <c r="Z218" s="71">
        <f>X218*12</f>
        <v>628299.00000000012</v>
      </c>
    </row>
    <row r="219" spans="1:26" hidden="1" outlineLevel="1" x14ac:dyDescent="0.3">
      <c r="A219" s="3" t="s">
        <v>52</v>
      </c>
      <c r="C219" s="71"/>
      <c r="D219" s="71">
        <f t="shared" si="153"/>
        <v>80000</v>
      </c>
      <c r="E219" s="71">
        <f t="shared" si="153"/>
        <v>1</v>
      </c>
      <c r="F219" s="71">
        <f>D219*12*E219</f>
        <v>960000</v>
      </c>
      <c r="G219" s="71"/>
      <c r="H219" s="71"/>
      <c r="I219" s="71">
        <f t="shared" si="155"/>
        <v>80000</v>
      </c>
      <c r="J219" s="71">
        <f t="shared" si="155"/>
        <v>1</v>
      </c>
      <c r="K219" s="71">
        <f>I219*12*J219</f>
        <v>960000</v>
      </c>
      <c r="L219" s="71"/>
      <c r="M219" s="71"/>
      <c r="N219" s="71">
        <f t="shared" si="157"/>
        <v>165000</v>
      </c>
      <c r="O219" s="71">
        <f t="shared" si="157"/>
        <v>2</v>
      </c>
      <c r="P219" s="71">
        <f>N219*12*O219</f>
        <v>3960000</v>
      </c>
      <c r="Q219" s="71"/>
      <c r="R219" s="68"/>
      <c r="S219" s="71">
        <f t="shared" si="159"/>
        <v>165000</v>
      </c>
      <c r="T219" s="71">
        <f t="shared" si="159"/>
        <v>3</v>
      </c>
      <c r="U219" s="71">
        <f>S219*12*T219</f>
        <v>5940000</v>
      </c>
      <c r="V219" s="68"/>
      <c r="W219" s="68"/>
      <c r="X219" s="71">
        <f t="shared" ref="X219:Y219" si="181">IFERROR(CHOOSE($B$4,X33,X95,X157),"")</f>
        <v>181500</v>
      </c>
      <c r="Y219" s="71">
        <f t="shared" si="181"/>
        <v>3</v>
      </c>
      <c r="Z219" s="71">
        <f>X219*12*Y219</f>
        <v>6534000</v>
      </c>
    </row>
    <row r="220" spans="1:26" hidden="1" outlineLevel="1" x14ac:dyDescent="0.3">
      <c r="A220" s="3" t="s">
        <v>53</v>
      </c>
      <c r="C220" s="71"/>
      <c r="D220" s="71">
        <f t="shared" si="153"/>
        <v>60000</v>
      </c>
      <c r="E220" s="71">
        <f t="shared" si="153"/>
        <v>1</v>
      </c>
      <c r="F220" s="71">
        <f t="shared" ref="F220:F221" si="182">D220*12*E220</f>
        <v>720000</v>
      </c>
      <c r="G220" s="71"/>
      <c r="H220" s="71"/>
      <c r="I220" s="71">
        <f t="shared" si="155"/>
        <v>60000</v>
      </c>
      <c r="J220" s="71">
        <f t="shared" si="155"/>
        <v>1</v>
      </c>
      <c r="K220" s="71">
        <f t="shared" ref="K220:K221" si="183">I220*12*J220</f>
        <v>720000</v>
      </c>
      <c r="L220" s="71"/>
      <c r="M220" s="71"/>
      <c r="N220" s="71">
        <f t="shared" si="157"/>
        <v>77000</v>
      </c>
      <c r="O220" s="71">
        <f t="shared" si="157"/>
        <v>1</v>
      </c>
      <c r="P220" s="71">
        <f t="shared" ref="P220:P221" si="184">N220*12*O220</f>
        <v>924000</v>
      </c>
      <c r="Q220" s="71"/>
      <c r="R220" s="68"/>
      <c r="S220" s="71">
        <f t="shared" si="159"/>
        <v>77000</v>
      </c>
      <c r="T220" s="71">
        <f t="shared" si="159"/>
        <v>2</v>
      </c>
      <c r="U220" s="71">
        <f t="shared" ref="U220:U221" si="185">S220*12*T220</f>
        <v>1848000</v>
      </c>
      <c r="V220" s="68"/>
      <c r="W220" s="68"/>
      <c r="X220" s="71">
        <f t="shared" ref="X220:Y220" si="186">IFERROR(CHOOSE($B$4,X34,X96,X158),"")</f>
        <v>84700</v>
      </c>
      <c r="Y220" s="71">
        <f t="shared" si="186"/>
        <v>2</v>
      </c>
      <c r="Z220" s="71">
        <f t="shared" ref="Z220:Z221" si="187">X220*12*Y220</f>
        <v>2032800</v>
      </c>
    </row>
    <row r="221" spans="1:26" hidden="1" outlineLevel="1" x14ac:dyDescent="0.3">
      <c r="A221" s="3" t="s">
        <v>54</v>
      </c>
      <c r="C221" s="71"/>
      <c r="D221" s="71">
        <f t="shared" si="153"/>
        <v>30000</v>
      </c>
      <c r="E221" s="71">
        <f t="shared" si="153"/>
        <v>10</v>
      </c>
      <c r="F221" s="71">
        <f t="shared" si="182"/>
        <v>3600000</v>
      </c>
      <c r="G221" s="71"/>
      <c r="H221" s="71"/>
      <c r="I221" s="71">
        <f t="shared" si="155"/>
        <v>6000</v>
      </c>
      <c r="J221" s="71">
        <f t="shared" si="155"/>
        <v>10</v>
      </c>
      <c r="K221" s="71">
        <f t="shared" si="183"/>
        <v>720000</v>
      </c>
      <c r="L221" s="71"/>
      <c r="M221" s="71"/>
      <c r="N221" s="71">
        <f t="shared" si="157"/>
        <v>0</v>
      </c>
      <c r="O221" s="71">
        <f t="shared" si="157"/>
        <v>0</v>
      </c>
      <c r="P221" s="71">
        <f t="shared" si="184"/>
        <v>0</v>
      </c>
      <c r="Q221" s="71"/>
      <c r="R221" s="68"/>
      <c r="S221" s="71">
        <f t="shared" si="159"/>
        <v>0</v>
      </c>
      <c r="T221" s="71">
        <f t="shared" si="159"/>
        <v>0</v>
      </c>
      <c r="U221" s="71">
        <f t="shared" si="185"/>
        <v>0</v>
      </c>
      <c r="V221" s="68"/>
      <c r="W221" s="68"/>
      <c r="X221" s="71">
        <f t="shared" ref="X221:Y221" si="188">IFERROR(CHOOSE($B$4,X35,X97,X159),"")</f>
        <v>0</v>
      </c>
      <c r="Y221" s="71">
        <f t="shared" si="188"/>
        <v>0</v>
      </c>
      <c r="Z221" s="71">
        <f t="shared" si="187"/>
        <v>0</v>
      </c>
    </row>
    <row r="222" spans="1:26" ht="17.25" hidden="1" outlineLevel="1" thickBot="1" x14ac:dyDescent="0.35">
      <c r="C222" s="71"/>
      <c r="D222" s="71"/>
      <c r="E222" s="71"/>
      <c r="F222" s="72">
        <f>SUM(F216:F221)+F215</f>
        <v>81051900</v>
      </c>
      <c r="G222" s="71"/>
      <c r="H222" s="71"/>
      <c r="I222" s="71"/>
      <c r="J222" s="71"/>
      <c r="K222" s="72">
        <f>SUM(K216:K221)+K215</f>
        <v>129462900</v>
      </c>
      <c r="L222" s="71"/>
      <c r="M222" s="71"/>
      <c r="N222" s="71"/>
      <c r="O222" s="71"/>
      <c r="P222" s="72">
        <f>SUM(P216:P221)+P215</f>
        <v>186731790</v>
      </c>
      <c r="Q222" s="71"/>
      <c r="R222" s="68"/>
      <c r="S222" s="71"/>
      <c r="T222" s="71"/>
      <c r="U222" s="72">
        <f>SUM(U216:U221)+U215</f>
        <v>238343790.00000003</v>
      </c>
      <c r="V222" s="68"/>
      <c r="W222" s="68"/>
      <c r="X222" s="71"/>
      <c r="Y222" s="71"/>
      <c r="Z222" s="72">
        <f>SUM(Z216:Z221)+Z215</f>
        <v>313018269.00000012</v>
      </c>
    </row>
    <row r="223" spans="1:26" ht="17.25" hidden="1" outlineLevel="1" thickTop="1" x14ac:dyDescent="0.3">
      <c r="C223" s="71"/>
      <c r="D223" s="68"/>
      <c r="E223" s="68"/>
      <c r="F223" s="68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68"/>
      <c r="V223" s="68"/>
      <c r="W223" s="68"/>
      <c r="X223" s="68"/>
      <c r="Y223" s="68"/>
      <c r="Z223" s="68"/>
    </row>
    <row r="224" spans="1:26" ht="17.25" hidden="1" outlineLevel="1" x14ac:dyDescent="0.35">
      <c r="A224" s="8" t="s">
        <v>60</v>
      </c>
      <c r="B224" s="8"/>
      <c r="C224" s="71"/>
      <c r="D224" s="68"/>
      <c r="E224" s="68"/>
      <c r="F224" s="68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68"/>
      <c r="V224" s="68"/>
      <c r="W224" s="68"/>
      <c r="X224" s="68"/>
      <c r="Y224" s="68"/>
      <c r="Z224" s="68"/>
    </row>
    <row r="225" spans="1:26" hidden="1" outlineLevel="1" x14ac:dyDescent="0.3">
      <c r="A225" s="39" t="s">
        <v>99</v>
      </c>
      <c r="C225" s="71"/>
      <c r="D225" s="71">
        <f>IFERROR(CHOOSE($B$4,D39,D101,D163),"")</f>
        <v>0</v>
      </c>
      <c r="E225" s="71">
        <f t="shared" ref="E225:Z225" si="189">IFERROR(CHOOSE($B$4,E39,E101,E163),"")</f>
        <v>0</v>
      </c>
      <c r="F225" s="71">
        <f t="shared" si="189"/>
        <v>2000000</v>
      </c>
      <c r="G225" s="71"/>
      <c r="H225" s="71"/>
      <c r="I225" s="71">
        <f t="shared" si="189"/>
        <v>0</v>
      </c>
      <c r="J225" s="71">
        <f t="shared" si="189"/>
        <v>0</v>
      </c>
      <c r="K225" s="71">
        <f t="shared" si="189"/>
        <v>2000000</v>
      </c>
      <c r="L225" s="71"/>
      <c r="M225" s="71"/>
      <c r="N225" s="71">
        <f t="shared" si="189"/>
        <v>0</v>
      </c>
      <c r="O225" s="71">
        <f t="shared" si="189"/>
        <v>0</v>
      </c>
      <c r="P225" s="71">
        <f t="shared" si="189"/>
        <v>2000000</v>
      </c>
      <c r="Q225" s="71"/>
      <c r="R225" s="71"/>
      <c r="S225" s="71">
        <f t="shared" si="189"/>
        <v>0</v>
      </c>
      <c r="T225" s="71">
        <f t="shared" si="189"/>
        <v>0</v>
      </c>
      <c r="U225" s="71">
        <f t="shared" si="189"/>
        <v>2000000</v>
      </c>
      <c r="V225" s="71"/>
      <c r="W225" s="71"/>
      <c r="X225" s="71">
        <f t="shared" si="189"/>
        <v>0</v>
      </c>
      <c r="Y225" s="71">
        <f t="shared" si="189"/>
        <v>0</v>
      </c>
      <c r="Z225" s="71">
        <f t="shared" si="189"/>
        <v>2000000</v>
      </c>
    </row>
    <row r="226" spans="1:26" hidden="1" outlineLevel="1" x14ac:dyDescent="0.3">
      <c r="A226" s="39" t="s">
        <v>61</v>
      </c>
      <c r="C226" s="71"/>
      <c r="D226" s="71">
        <f t="shared" ref="D226:D234" si="190">IFERROR(CHOOSE($B$4,D40,D102,D164),"")</f>
        <v>60000</v>
      </c>
      <c r="E226" s="71">
        <f t="shared" ref="E226:Z226" si="191">IFERROR(CHOOSE($B$4,E40,E102,E164),"")</f>
        <v>12</v>
      </c>
      <c r="F226" s="71">
        <f t="shared" si="191"/>
        <v>720000</v>
      </c>
      <c r="G226" s="71"/>
      <c r="H226" s="71"/>
      <c r="I226" s="71">
        <f t="shared" si="191"/>
        <v>75000</v>
      </c>
      <c r="J226" s="71">
        <f t="shared" si="191"/>
        <v>12</v>
      </c>
      <c r="K226" s="71">
        <f t="shared" si="191"/>
        <v>900000</v>
      </c>
      <c r="L226" s="71"/>
      <c r="M226" s="71"/>
      <c r="N226" s="71">
        <f t="shared" si="191"/>
        <v>93750</v>
      </c>
      <c r="O226" s="71">
        <f t="shared" si="191"/>
        <v>12</v>
      </c>
      <c r="P226" s="71">
        <f t="shared" si="191"/>
        <v>1125000</v>
      </c>
      <c r="Q226" s="71"/>
      <c r="R226" s="71"/>
      <c r="S226" s="71">
        <f t="shared" si="191"/>
        <v>117188</v>
      </c>
      <c r="T226" s="71">
        <f t="shared" si="191"/>
        <v>12</v>
      </c>
      <c r="U226" s="71">
        <f t="shared" si="191"/>
        <v>1406256</v>
      </c>
      <c r="V226" s="71"/>
      <c r="W226" s="71"/>
      <c r="X226" s="71">
        <f t="shared" si="191"/>
        <v>146484</v>
      </c>
      <c r="Y226" s="71">
        <f t="shared" si="191"/>
        <v>12</v>
      </c>
      <c r="Z226" s="71">
        <f t="shared" si="191"/>
        <v>1757808</v>
      </c>
    </row>
    <row r="227" spans="1:26" hidden="1" outlineLevel="1" x14ac:dyDescent="0.3">
      <c r="A227" s="39" t="s">
        <v>98</v>
      </c>
      <c r="C227" s="71"/>
      <c r="D227" s="71">
        <f t="shared" si="190"/>
        <v>0</v>
      </c>
      <c r="E227" s="71">
        <f t="shared" ref="E227:Z227" si="192">IFERROR(CHOOSE($B$4,E41,E103,E165),"")</f>
        <v>0</v>
      </c>
      <c r="F227" s="71">
        <f t="shared" si="192"/>
        <v>1000000</v>
      </c>
      <c r="G227" s="71"/>
      <c r="H227" s="71"/>
      <c r="I227" s="71">
        <f t="shared" si="192"/>
        <v>0</v>
      </c>
      <c r="J227" s="71">
        <f t="shared" si="192"/>
        <v>0</v>
      </c>
      <c r="K227" s="71">
        <f t="shared" si="192"/>
        <v>1000000</v>
      </c>
      <c r="L227" s="71"/>
      <c r="M227" s="71"/>
      <c r="N227" s="71">
        <f t="shared" si="192"/>
        <v>0</v>
      </c>
      <c r="O227" s="71">
        <f t="shared" si="192"/>
        <v>0</v>
      </c>
      <c r="P227" s="71">
        <f t="shared" si="192"/>
        <v>1000000</v>
      </c>
      <c r="Q227" s="71"/>
      <c r="R227" s="71"/>
      <c r="S227" s="71">
        <f t="shared" si="192"/>
        <v>0</v>
      </c>
      <c r="T227" s="71">
        <f t="shared" si="192"/>
        <v>0</v>
      </c>
      <c r="U227" s="71">
        <f t="shared" si="192"/>
        <v>1000000</v>
      </c>
      <c r="V227" s="71"/>
      <c r="W227" s="71"/>
      <c r="X227" s="71">
        <f t="shared" si="192"/>
        <v>0</v>
      </c>
      <c r="Y227" s="71">
        <f t="shared" si="192"/>
        <v>0</v>
      </c>
      <c r="Z227" s="71">
        <f t="shared" si="192"/>
        <v>1000000</v>
      </c>
    </row>
    <row r="228" spans="1:26" hidden="1" outlineLevel="1" x14ac:dyDescent="0.3">
      <c r="A228" s="39" t="s">
        <v>62</v>
      </c>
      <c r="C228" s="71"/>
      <c r="D228" s="71">
        <f t="shared" si="190"/>
        <v>60000</v>
      </c>
      <c r="E228" s="71">
        <f t="shared" ref="E228:Z228" si="193">IFERROR(CHOOSE($B$4,E42,E104,E166),"")</f>
        <v>12</v>
      </c>
      <c r="F228" s="71">
        <f t="shared" si="193"/>
        <v>720000</v>
      </c>
      <c r="G228" s="71"/>
      <c r="H228" s="71"/>
      <c r="I228" s="71">
        <f t="shared" si="193"/>
        <v>100000</v>
      </c>
      <c r="J228" s="71">
        <f t="shared" si="193"/>
        <v>12</v>
      </c>
      <c r="K228" s="71">
        <f t="shared" si="193"/>
        <v>1200000</v>
      </c>
      <c r="L228" s="71"/>
      <c r="M228" s="71"/>
      <c r="N228" s="71">
        <f t="shared" si="193"/>
        <v>140625</v>
      </c>
      <c r="O228" s="71">
        <f t="shared" si="193"/>
        <v>12</v>
      </c>
      <c r="P228" s="71">
        <f t="shared" si="193"/>
        <v>1687500</v>
      </c>
      <c r="Q228" s="71"/>
      <c r="R228" s="71"/>
      <c r="S228" s="71">
        <f t="shared" si="193"/>
        <v>156250</v>
      </c>
      <c r="T228" s="71">
        <f t="shared" si="193"/>
        <v>12</v>
      </c>
      <c r="U228" s="71">
        <f t="shared" si="193"/>
        <v>1875000</v>
      </c>
      <c r="V228" s="71"/>
      <c r="W228" s="71"/>
      <c r="X228" s="71">
        <f t="shared" si="193"/>
        <v>195313</v>
      </c>
      <c r="Y228" s="71">
        <f t="shared" si="193"/>
        <v>12</v>
      </c>
      <c r="Z228" s="71">
        <f t="shared" si="193"/>
        <v>2343756</v>
      </c>
    </row>
    <row r="229" spans="1:26" hidden="1" outlineLevel="1" x14ac:dyDescent="0.3">
      <c r="A229" s="39" t="s">
        <v>95</v>
      </c>
      <c r="C229" s="71"/>
      <c r="D229" s="71">
        <f t="shared" si="190"/>
        <v>50000</v>
      </c>
      <c r="E229" s="71">
        <f t="shared" ref="E229:Z229" si="194">IFERROR(CHOOSE($B$4,E43,E105,E167),"")</f>
        <v>12</v>
      </c>
      <c r="F229" s="71">
        <f t="shared" si="194"/>
        <v>600000</v>
      </c>
      <c r="G229" s="71"/>
      <c r="H229" s="71"/>
      <c r="I229" s="71">
        <f t="shared" si="194"/>
        <v>75000</v>
      </c>
      <c r="J229" s="71">
        <f t="shared" si="194"/>
        <v>12</v>
      </c>
      <c r="K229" s="71">
        <f t="shared" si="194"/>
        <v>900000</v>
      </c>
      <c r="L229" s="71"/>
      <c r="M229" s="71"/>
      <c r="N229" s="71">
        <f t="shared" si="194"/>
        <v>93750</v>
      </c>
      <c r="O229" s="71">
        <f t="shared" si="194"/>
        <v>12</v>
      </c>
      <c r="P229" s="71">
        <f t="shared" si="194"/>
        <v>1125000</v>
      </c>
      <c r="Q229" s="71"/>
      <c r="R229" s="71"/>
      <c r="S229" s="71">
        <f t="shared" si="194"/>
        <v>117188</v>
      </c>
      <c r="T229" s="71">
        <f t="shared" si="194"/>
        <v>12</v>
      </c>
      <c r="U229" s="71">
        <f t="shared" si="194"/>
        <v>1406256</v>
      </c>
      <c r="V229" s="71"/>
      <c r="W229" s="71"/>
      <c r="X229" s="71">
        <f t="shared" si="194"/>
        <v>146484</v>
      </c>
      <c r="Y229" s="71">
        <f t="shared" si="194"/>
        <v>12</v>
      </c>
      <c r="Z229" s="71">
        <f t="shared" si="194"/>
        <v>1757808</v>
      </c>
    </row>
    <row r="230" spans="1:26" hidden="1" outlineLevel="1" x14ac:dyDescent="0.3">
      <c r="A230" s="39" t="s">
        <v>96</v>
      </c>
      <c r="C230" s="71"/>
      <c r="D230" s="71">
        <f t="shared" si="190"/>
        <v>0</v>
      </c>
      <c r="E230" s="71">
        <f t="shared" ref="E230:Z230" si="195">IFERROR(CHOOSE($B$4,E44,E106,E168),"")</f>
        <v>0</v>
      </c>
      <c r="F230" s="71">
        <f t="shared" si="195"/>
        <v>200000</v>
      </c>
      <c r="G230" s="71"/>
      <c r="H230" s="71"/>
      <c r="I230" s="71">
        <f t="shared" si="195"/>
        <v>0</v>
      </c>
      <c r="J230" s="71">
        <f t="shared" si="195"/>
        <v>0</v>
      </c>
      <c r="K230" s="71">
        <f t="shared" si="195"/>
        <v>200000</v>
      </c>
      <c r="L230" s="71"/>
      <c r="M230" s="71"/>
      <c r="N230" s="71">
        <f t="shared" si="195"/>
        <v>0</v>
      </c>
      <c r="O230" s="71">
        <f t="shared" si="195"/>
        <v>0</v>
      </c>
      <c r="P230" s="71">
        <f t="shared" si="195"/>
        <v>200000</v>
      </c>
      <c r="Q230" s="71"/>
      <c r="R230" s="71"/>
      <c r="S230" s="71">
        <f t="shared" si="195"/>
        <v>0</v>
      </c>
      <c r="T230" s="71">
        <f t="shared" si="195"/>
        <v>0</v>
      </c>
      <c r="U230" s="71">
        <f t="shared" si="195"/>
        <v>200000</v>
      </c>
      <c r="V230" s="71"/>
      <c r="W230" s="71"/>
      <c r="X230" s="71">
        <f t="shared" si="195"/>
        <v>0</v>
      </c>
      <c r="Y230" s="71">
        <f t="shared" si="195"/>
        <v>0</v>
      </c>
      <c r="Z230" s="71">
        <f t="shared" si="195"/>
        <v>200000</v>
      </c>
    </row>
    <row r="231" spans="1:26" hidden="1" outlineLevel="1" x14ac:dyDescent="0.3">
      <c r="A231" s="39" t="s">
        <v>100</v>
      </c>
      <c r="C231" s="71"/>
      <c r="D231" s="71">
        <f t="shared" si="190"/>
        <v>100000</v>
      </c>
      <c r="E231" s="71">
        <f t="shared" ref="E231:Z231" si="196">IFERROR(CHOOSE($B$4,E45,E107,E169),"")</f>
        <v>12</v>
      </c>
      <c r="F231" s="71">
        <f t="shared" si="196"/>
        <v>1200000</v>
      </c>
      <c r="G231" s="71"/>
      <c r="H231" s="71"/>
      <c r="I231" s="71">
        <f t="shared" si="196"/>
        <v>100000</v>
      </c>
      <c r="J231" s="71">
        <f t="shared" si="196"/>
        <v>12</v>
      </c>
      <c r="K231" s="71">
        <f t="shared" si="196"/>
        <v>1200000</v>
      </c>
      <c r="L231" s="71"/>
      <c r="M231" s="71"/>
      <c r="N231" s="71">
        <f t="shared" si="196"/>
        <v>100000</v>
      </c>
      <c r="O231" s="71">
        <f t="shared" si="196"/>
        <v>12</v>
      </c>
      <c r="P231" s="71">
        <f t="shared" si="196"/>
        <v>1200000</v>
      </c>
      <c r="Q231" s="71"/>
      <c r="R231" s="71"/>
      <c r="S231" s="71">
        <f t="shared" si="196"/>
        <v>100000</v>
      </c>
      <c r="T231" s="71">
        <f t="shared" si="196"/>
        <v>12</v>
      </c>
      <c r="U231" s="71">
        <f t="shared" si="196"/>
        <v>1200000</v>
      </c>
      <c r="V231" s="71"/>
      <c r="W231" s="71"/>
      <c r="X231" s="71">
        <f t="shared" si="196"/>
        <v>100000</v>
      </c>
      <c r="Y231" s="71">
        <f t="shared" si="196"/>
        <v>12</v>
      </c>
      <c r="Z231" s="71">
        <f t="shared" si="196"/>
        <v>1200000</v>
      </c>
    </row>
    <row r="232" spans="1:26" hidden="1" outlineLevel="1" x14ac:dyDescent="0.3">
      <c r="A232" s="39" t="s">
        <v>63</v>
      </c>
      <c r="C232" s="71"/>
      <c r="D232" s="71">
        <f t="shared" si="190"/>
        <v>80000</v>
      </c>
      <c r="E232" s="71">
        <f t="shared" ref="E232:Z232" si="197">IFERROR(CHOOSE($B$4,E46,E108,E170),"")</f>
        <v>12</v>
      </c>
      <c r="F232" s="71">
        <f t="shared" si="197"/>
        <v>960000</v>
      </c>
      <c r="G232" s="71"/>
      <c r="H232" s="71"/>
      <c r="I232" s="71">
        <f t="shared" si="197"/>
        <v>87500</v>
      </c>
      <c r="J232" s="71">
        <f t="shared" si="197"/>
        <v>12</v>
      </c>
      <c r="K232" s="71">
        <f t="shared" si="197"/>
        <v>1050000</v>
      </c>
      <c r="L232" s="71"/>
      <c r="M232" s="71"/>
      <c r="N232" s="71">
        <f t="shared" si="197"/>
        <v>109375</v>
      </c>
      <c r="O232" s="71">
        <f t="shared" si="197"/>
        <v>12</v>
      </c>
      <c r="P232" s="71">
        <f t="shared" si="197"/>
        <v>1312500</v>
      </c>
      <c r="Q232" s="71"/>
      <c r="R232" s="71"/>
      <c r="S232" s="71">
        <f t="shared" si="197"/>
        <v>136719</v>
      </c>
      <c r="T232" s="71">
        <f t="shared" si="197"/>
        <v>12</v>
      </c>
      <c r="U232" s="71">
        <f t="shared" si="197"/>
        <v>1640628</v>
      </c>
      <c r="V232" s="71"/>
      <c r="W232" s="71"/>
      <c r="X232" s="71">
        <f t="shared" si="197"/>
        <v>170898</v>
      </c>
      <c r="Y232" s="71">
        <f t="shared" si="197"/>
        <v>12</v>
      </c>
      <c r="Z232" s="71">
        <f t="shared" si="197"/>
        <v>2050776</v>
      </c>
    </row>
    <row r="233" spans="1:26" hidden="1" outlineLevel="1" x14ac:dyDescent="0.3">
      <c r="A233" s="39" t="s">
        <v>64</v>
      </c>
      <c r="C233" s="71"/>
      <c r="D233" s="71">
        <f t="shared" si="190"/>
        <v>250000</v>
      </c>
      <c r="E233" s="71">
        <f t="shared" ref="E233:Z233" si="198">IFERROR(CHOOSE($B$4,E47,E109,E171),"")</f>
        <v>12</v>
      </c>
      <c r="F233" s="71">
        <f t="shared" si="198"/>
        <v>3000000</v>
      </c>
      <c r="G233" s="71"/>
      <c r="H233" s="71"/>
      <c r="I233" s="71">
        <f t="shared" si="198"/>
        <v>500000</v>
      </c>
      <c r="J233" s="71">
        <f t="shared" si="198"/>
        <v>12</v>
      </c>
      <c r="K233" s="71">
        <f t="shared" si="198"/>
        <v>6000000</v>
      </c>
      <c r="L233" s="71"/>
      <c r="M233" s="71"/>
      <c r="N233" s="71">
        <f t="shared" si="198"/>
        <v>510000</v>
      </c>
      <c r="O233" s="71">
        <f t="shared" si="198"/>
        <v>12</v>
      </c>
      <c r="P233" s="71">
        <f t="shared" si="198"/>
        <v>6120000</v>
      </c>
      <c r="Q233" s="71"/>
      <c r="R233" s="71"/>
      <c r="S233" s="71">
        <f t="shared" si="198"/>
        <v>520000</v>
      </c>
      <c r="T233" s="71">
        <f t="shared" si="198"/>
        <v>12</v>
      </c>
      <c r="U233" s="71">
        <f t="shared" si="198"/>
        <v>6240000</v>
      </c>
      <c r="V233" s="71"/>
      <c r="W233" s="71"/>
      <c r="X233" s="71">
        <f t="shared" si="198"/>
        <v>540000</v>
      </c>
      <c r="Y233" s="71">
        <f t="shared" si="198"/>
        <v>12</v>
      </c>
      <c r="Z233" s="71">
        <f t="shared" si="198"/>
        <v>6480000</v>
      </c>
    </row>
    <row r="234" spans="1:26" hidden="1" outlineLevel="1" x14ac:dyDescent="0.3">
      <c r="A234" s="39" t="s">
        <v>70</v>
      </c>
      <c r="C234" s="71"/>
      <c r="D234" s="71">
        <f t="shared" si="190"/>
        <v>62500</v>
      </c>
      <c r="E234" s="71">
        <f t="shared" ref="E234:Z234" si="199">IFERROR(CHOOSE($B$4,E48,E110,E172),"")</f>
        <v>12</v>
      </c>
      <c r="F234" s="71">
        <f t="shared" si="199"/>
        <v>750000</v>
      </c>
      <c r="G234" s="71"/>
      <c r="H234" s="71"/>
      <c r="I234" s="71">
        <f t="shared" si="199"/>
        <v>125000</v>
      </c>
      <c r="J234" s="71">
        <f t="shared" si="199"/>
        <v>12</v>
      </c>
      <c r="K234" s="71">
        <f t="shared" si="199"/>
        <v>1500000</v>
      </c>
      <c r="L234" s="71"/>
      <c r="M234" s="71"/>
      <c r="N234" s="71">
        <f t="shared" si="199"/>
        <v>0</v>
      </c>
      <c r="O234" s="71">
        <f t="shared" si="199"/>
        <v>0</v>
      </c>
      <c r="P234" s="71">
        <f t="shared" si="199"/>
        <v>0</v>
      </c>
      <c r="Q234" s="71"/>
      <c r="R234" s="71"/>
      <c r="S234" s="71">
        <f t="shared" si="199"/>
        <v>193313</v>
      </c>
      <c r="T234" s="71">
        <f t="shared" si="199"/>
        <v>12</v>
      </c>
      <c r="U234" s="71">
        <f t="shared" si="199"/>
        <v>2319756</v>
      </c>
      <c r="V234" s="71"/>
      <c r="W234" s="71"/>
      <c r="X234" s="71">
        <f t="shared" si="199"/>
        <v>202141</v>
      </c>
      <c r="Y234" s="71">
        <f t="shared" si="199"/>
        <v>12</v>
      </c>
      <c r="Z234" s="71">
        <f t="shared" si="199"/>
        <v>2425692</v>
      </c>
    </row>
    <row r="235" spans="1:26" ht="17.25" hidden="1" outlineLevel="1" thickBot="1" x14ac:dyDescent="0.35">
      <c r="C235" s="71"/>
      <c r="D235" s="68"/>
      <c r="E235" s="68"/>
      <c r="F235" s="73">
        <f>SUM(F225:F234)</f>
        <v>11150000</v>
      </c>
      <c r="G235" s="71"/>
      <c r="H235" s="71"/>
      <c r="I235" s="68"/>
      <c r="J235" s="68"/>
      <c r="K235" s="73">
        <f>SUM(K225:K234)</f>
        <v>15950000</v>
      </c>
      <c r="L235" s="71"/>
      <c r="M235" s="71"/>
      <c r="N235" s="68"/>
      <c r="O235" s="68"/>
      <c r="P235" s="73">
        <f>SUM(P225:P234)</f>
        <v>15770000</v>
      </c>
      <c r="Q235" s="71"/>
      <c r="R235" s="71"/>
      <c r="S235" s="68"/>
      <c r="T235" s="68"/>
      <c r="U235" s="73">
        <f>SUM(U225:U234)</f>
        <v>19287896</v>
      </c>
      <c r="V235" s="68"/>
      <c r="W235" s="68"/>
      <c r="X235" s="68"/>
      <c r="Y235" s="68"/>
      <c r="Z235" s="73">
        <f>SUM(Z225:Z234)</f>
        <v>21215840</v>
      </c>
    </row>
    <row r="236" spans="1:26" ht="17.25" hidden="1" outlineLevel="1" thickTop="1" x14ac:dyDescent="0.3"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68"/>
      <c r="W236" s="68"/>
      <c r="X236" s="71"/>
      <c r="Y236" s="71"/>
      <c r="Z236" s="71"/>
    </row>
    <row r="237" spans="1:26" ht="17.25" hidden="1" outlineLevel="1" x14ac:dyDescent="0.35">
      <c r="A237" s="41" t="s">
        <v>101</v>
      </c>
      <c r="B237" s="8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68"/>
      <c r="W237" s="68"/>
      <c r="X237" s="71"/>
      <c r="Y237" s="71"/>
      <c r="Z237" s="71"/>
    </row>
    <row r="238" spans="1:26" hidden="1" outlineLevel="1" x14ac:dyDescent="0.3">
      <c r="A238" s="39" t="s">
        <v>91</v>
      </c>
      <c r="C238" s="71">
        <f>IFERROR(CHOOSE($B$4,C52,C114,C176),"")</f>
        <v>0</v>
      </c>
      <c r="D238" s="71">
        <f t="shared" ref="D238:Z238" si="200">IFERROR(CHOOSE($B$4,D52,D114,D176),"")</f>
        <v>0</v>
      </c>
      <c r="E238" s="71">
        <f t="shared" si="200"/>
        <v>0</v>
      </c>
      <c r="F238" s="71">
        <f t="shared" si="200"/>
        <v>200000</v>
      </c>
      <c r="G238" s="71"/>
      <c r="H238" s="71"/>
      <c r="I238" s="71">
        <f t="shared" si="200"/>
        <v>0</v>
      </c>
      <c r="J238" s="71">
        <f t="shared" si="200"/>
        <v>0</v>
      </c>
      <c r="K238" s="71">
        <f t="shared" si="200"/>
        <v>200000</v>
      </c>
      <c r="L238" s="71"/>
      <c r="M238" s="71"/>
      <c r="N238" s="71">
        <f t="shared" si="200"/>
        <v>0</v>
      </c>
      <c r="O238" s="71">
        <f t="shared" si="200"/>
        <v>0</v>
      </c>
      <c r="P238" s="71">
        <f t="shared" si="200"/>
        <v>200000</v>
      </c>
      <c r="Q238" s="71"/>
      <c r="R238" s="71"/>
      <c r="S238" s="71">
        <f t="shared" si="200"/>
        <v>0</v>
      </c>
      <c r="T238" s="71">
        <f t="shared" si="200"/>
        <v>0</v>
      </c>
      <c r="U238" s="71">
        <f t="shared" si="200"/>
        <v>200000</v>
      </c>
      <c r="V238" s="71"/>
      <c r="W238" s="71"/>
      <c r="X238" s="71">
        <f t="shared" si="200"/>
        <v>0</v>
      </c>
      <c r="Y238" s="71">
        <f t="shared" si="200"/>
        <v>0</v>
      </c>
      <c r="Z238" s="71">
        <f t="shared" si="200"/>
        <v>200000</v>
      </c>
    </row>
    <row r="239" spans="1:26" hidden="1" outlineLevel="1" x14ac:dyDescent="0.3">
      <c r="A239" s="39" t="s">
        <v>76</v>
      </c>
      <c r="C239" s="71">
        <f t="shared" ref="C239" si="201">IFERROR(CHOOSE($B$4,C53,C115,C177),"")</f>
        <v>0</v>
      </c>
      <c r="D239" s="71">
        <f t="shared" ref="D239:Z239" si="202">IFERROR(CHOOSE($B$4,D53,D115,D177),"")</f>
        <v>0</v>
      </c>
      <c r="E239" s="71">
        <f t="shared" si="202"/>
        <v>0</v>
      </c>
      <c r="F239" s="71">
        <f t="shared" si="202"/>
        <v>0</v>
      </c>
      <c r="G239" s="71"/>
      <c r="H239" s="71"/>
      <c r="I239" s="71">
        <f t="shared" si="202"/>
        <v>100000</v>
      </c>
      <c r="J239" s="71">
        <f t="shared" si="202"/>
        <v>12</v>
      </c>
      <c r="K239" s="71">
        <f t="shared" si="202"/>
        <v>1200000</v>
      </c>
      <c r="L239" s="71"/>
      <c r="M239" s="71"/>
      <c r="N239" s="71">
        <f t="shared" si="202"/>
        <v>80000</v>
      </c>
      <c r="O239" s="71">
        <f t="shared" si="202"/>
        <v>12</v>
      </c>
      <c r="P239" s="71">
        <f t="shared" si="202"/>
        <v>960000</v>
      </c>
      <c r="Q239" s="71"/>
      <c r="R239" s="71"/>
      <c r="S239" s="71">
        <f t="shared" si="202"/>
        <v>80000</v>
      </c>
      <c r="T239" s="71">
        <f t="shared" si="202"/>
        <v>12</v>
      </c>
      <c r="U239" s="71">
        <f t="shared" si="202"/>
        <v>960000</v>
      </c>
      <c r="V239" s="71"/>
      <c r="W239" s="71"/>
      <c r="X239" s="71">
        <f t="shared" si="202"/>
        <v>70000</v>
      </c>
      <c r="Y239" s="71">
        <f t="shared" si="202"/>
        <v>12</v>
      </c>
      <c r="Z239" s="71">
        <f t="shared" si="202"/>
        <v>840000</v>
      </c>
    </row>
    <row r="240" spans="1:26" hidden="1" outlineLevel="1" x14ac:dyDescent="0.3">
      <c r="A240" s="39" t="s">
        <v>65</v>
      </c>
      <c r="C240" s="71">
        <f t="shared" ref="C240" si="203">IFERROR(CHOOSE($B$4,C54,C116,C178),"")</f>
        <v>0</v>
      </c>
      <c r="D240" s="71">
        <f t="shared" ref="D240:Z240" si="204">IFERROR(CHOOSE($B$4,D54,D116,D178),"")</f>
        <v>0</v>
      </c>
      <c r="E240" s="71">
        <f t="shared" si="204"/>
        <v>0</v>
      </c>
      <c r="F240" s="71">
        <f t="shared" si="204"/>
        <v>0</v>
      </c>
      <c r="G240" s="71"/>
      <c r="H240" s="71"/>
      <c r="I240" s="71">
        <f t="shared" si="204"/>
        <v>100000</v>
      </c>
      <c r="J240" s="71">
        <f t="shared" si="204"/>
        <v>12</v>
      </c>
      <c r="K240" s="71">
        <f t="shared" si="204"/>
        <v>1200000</v>
      </c>
      <c r="L240" s="71"/>
      <c r="M240" s="71"/>
      <c r="N240" s="71">
        <f t="shared" si="204"/>
        <v>90000</v>
      </c>
      <c r="O240" s="71">
        <f t="shared" si="204"/>
        <v>12</v>
      </c>
      <c r="P240" s="71">
        <f t="shared" si="204"/>
        <v>1080000</v>
      </c>
      <c r="Q240" s="71"/>
      <c r="R240" s="71"/>
      <c r="S240" s="71">
        <f t="shared" si="204"/>
        <v>90000</v>
      </c>
      <c r="T240" s="71">
        <f t="shared" si="204"/>
        <v>12</v>
      </c>
      <c r="U240" s="71">
        <f t="shared" si="204"/>
        <v>1080000</v>
      </c>
      <c r="V240" s="71"/>
      <c r="W240" s="71"/>
      <c r="X240" s="71">
        <f t="shared" si="204"/>
        <v>60000</v>
      </c>
      <c r="Y240" s="71">
        <f t="shared" si="204"/>
        <v>12</v>
      </c>
      <c r="Z240" s="71">
        <f t="shared" si="204"/>
        <v>720000</v>
      </c>
    </row>
    <row r="241" spans="1:31" hidden="1" outlineLevel="1" x14ac:dyDescent="0.3">
      <c r="A241" s="39" t="s">
        <v>66</v>
      </c>
      <c r="C241" s="71">
        <f t="shared" ref="C241" si="205">IFERROR(CHOOSE($B$4,C55,C117,C179),"")</f>
        <v>0</v>
      </c>
      <c r="D241" s="71">
        <f t="shared" ref="D241:Z241" si="206">IFERROR(CHOOSE($B$4,D55,D117,D179),"")</f>
        <v>0</v>
      </c>
      <c r="E241" s="71">
        <f t="shared" si="206"/>
        <v>0</v>
      </c>
      <c r="F241" s="71">
        <f t="shared" si="206"/>
        <v>0</v>
      </c>
      <c r="G241" s="71"/>
      <c r="H241" s="71"/>
      <c r="I241" s="71">
        <f t="shared" si="206"/>
        <v>100000</v>
      </c>
      <c r="J241" s="71">
        <f t="shared" si="206"/>
        <v>12</v>
      </c>
      <c r="K241" s="71">
        <f t="shared" si="206"/>
        <v>1200000</v>
      </c>
      <c r="L241" s="71"/>
      <c r="M241" s="71"/>
      <c r="N241" s="71">
        <f t="shared" si="206"/>
        <v>90000</v>
      </c>
      <c r="O241" s="71">
        <f t="shared" si="206"/>
        <v>12</v>
      </c>
      <c r="P241" s="71">
        <f t="shared" si="206"/>
        <v>1080000</v>
      </c>
      <c r="Q241" s="71"/>
      <c r="R241" s="71"/>
      <c r="S241" s="71">
        <f t="shared" si="206"/>
        <v>90000</v>
      </c>
      <c r="T241" s="71">
        <f t="shared" si="206"/>
        <v>12</v>
      </c>
      <c r="U241" s="71">
        <f t="shared" si="206"/>
        <v>1080000</v>
      </c>
      <c r="V241" s="71"/>
      <c r="W241" s="71"/>
      <c r="X241" s="71">
        <f t="shared" si="206"/>
        <v>62000</v>
      </c>
      <c r="Y241" s="71">
        <f t="shared" si="206"/>
        <v>12</v>
      </c>
      <c r="Z241" s="71">
        <f t="shared" si="206"/>
        <v>744000</v>
      </c>
    </row>
    <row r="242" spans="1:31" hidden="1" outlineLevel="1" x14ac:dyDescent="0.3">
      <c r="A242" s="39" t="s">
        <v>67</v>
      </c>
      <c r="C242" s="71">
        <f t="shared" ref="C242" si="207">IFERROR(CHOOSE($B$4,C56,C118,C180),"")</f>
        <v>0</v>
      </c>
      <c r="D242" s="71">
        <f t="shared" ref="D242:Z242" si="208">IFERROR(CHOOSE($B$4,D56,D118,D180),"")</f>
        <v>100000</v>
      </c>
      <c r="E242" s="71">
        <f t="shared" si="208"/>
        <v>12</v>
      </c>
      <c r="F242" s="71">
        <f t="shared" si="208"/>
        <v>1200000</v>
      </c>
      <c r="G242" s="71"/>
      <c r="H242" s="71"/>
      <c r="I242" s="71">
        <f t="shared" si="208"/>
        <v>100000</v>
      </c>
      <c r="J242" s="71">
        <f t="shared" si="208"/>
        <v>12</v>
      </c>
      <c r="K242" s="71">
        <f t="shared" si="208"/>
        <v>1200000</v>
      </c>
      <c r="L242" s="71"/>
      <c r="M242" s="71"/>
      <c r="N242" s="71">
        <f t="shared" si="208"/>
        <v>100000</v>
      </c>
      <c r="O242" s="71">
        <f t="shared" si="208"/>
        <v>12</v>
      </c>
      <c r="P242" s="71">
        <f t="shared" si="208"/>
        <v>1200000</v>
      </c>
      <c r="Q242" s="71"/>
      <c r="R242" s="71"/>
      <c r="S242" s="71">
        <f t="shared" si="208"/>
        <v>100000</v>
      </c>
      <c r="T242" s="71">
        <f t="shared" si="208"/>
        <v>12</v>
      </c>
      <c r="U242" s="71">
        <f t="shared" si="208"/>
        <v>1200000</v>
      </c>
      <c r="V242" s="71"/>
      <c r="W242" s="71"/>
      <c r="X242" s="71">
        <f t="shared" si="208"/>
        <v>100000</v>
      </c>
      <c r="Y242" s="71">
        <f t="shared" si="208"/>
        <v>12</v>
      </c>
      <c r="Z242" s="71">
        <f t="shared" si="208"/>
        <v>1200000</v>
      </c>
    </row>
    <row r="243" spans="1:31" hidden="1" outlineLevel="1" x14ac:dyDescent="0.3">
      <c r="A243" s="39" t="s">
        <v>92</v>
      </c>
      <c r="C243" s="71">
        <f t="shared" ref="C243" si="209">IFERROR(CHOOSE($B$4,C57,C119,C181),"")</f>
        <v>0</v>
      </c>
      <c r="D243" s="71">
        <f t="shared" ref="D243:Z243" si="210">IFERROR(CHOOSE($B$4,D57,D119,D181),"")</f>
        <v>0</v>
      </c>
      <c r="E243" s="71">
        <f t="shared" si="210"/>
        <v>0</v>
      </c>
      <c r="F243" s="71">
        <f t="shared" si="210"/>
        <v>200000</v>
      </c>
      <c r="G243" s="71"/>
      <c r="H243" s="71"/>
      <c r="I243" s="71">
        <f t="shared" si="210"/>
        <v>0</v>
      </c>
      <c r="J243" s="71">
        <f t="shared" si="210"/>
        <v>0</v>
      </c>
      <c r="K243" s="71">
        <f t="shared" si="210"/>
        <v>200000</v>
      </c>
      <c r="L243" s="71"/>
      <c r="M243" s="71"/>
      <c r="N243" s="71">
        <f t="shared" si="210"/>
        <v>0</v>
      </c>
      <c r="O243" s="71">
        <f t="shared" si="210"/>
        <v>0</v>
      </c>
      <c r="P243" s="71">
        <f t="shared" si="210"/>
        <v>200000</v>
      </c>
      <c r="Q243" s="71"/>
      <c r="R243" s="71"/>
      <c r="S243" s="71">
        <f t="shared" si="210"/>
        <v>0</v>
      </c>
      <c r="T243" s="71">
        <f t="shared" si="210"/>
        <v>0</v>
      </c>
      <c r="U243" s="71">
        <f t="shared" si="210"/>
        <v>200000</v>
      </c>
      <c r="V243" s="71"/>
      <c r="W243" s="71"/>
      <c r="X243" s="71">
        <f t="shared" si="210"/>
        <v>0</v>
      </c>
      <c r="Y243" s="71">
        <f t="shared" si="210"/>
        <v>0</v>
      </c>
      <c r="Z243" s="71">
        <f t="shared" si="210"/>
        <v>200000</v>
      </c>
    </row>
    <row r="244" spans="1:31" hidden="1" outlineLevel="1" x14ac:dyDescent="0.3">
      <c r="A244" s="39" t="s">
        <v>93</v>
      </c>
      <c r="C244" s="71">
        <f t="shared" ref="C244" si="211">IFERROR(CHOOSE($B$4,C58,C120,C182),"")</f>
        <v>0</v>
      </c>
      <c r="D244" s="71">
        <f t="shared" ref="D244:Z244" si="212">IFERROR(CHOOSE($B$4,D58,D120,D182),"")</f>
        <v>0</v>
      </c>
      <c r="E244" s="71">
        <f t="shared" si="212"/>
        <v>0</v>
      </c>
      <c r="F244" s="71">
        <f t="shared" si="212"/>
        <v>200000</v>
      </c>
      <c r="G244" s="71"/>
      <c r="H244" s="71"/>
      <c r="I244" s="71">
        <f t="shared" si="212"/>
        <v>0</v>
      </c>
      <c r="J244" s="71">
        <f t="shared" si="212"/>
        <v>0</v>
      </c>
      <c r="K244" s="71">
        <f t="shared" si="212"/>
        <v>200000</v>
      </c>
      <c r="L244" s="71"/>
      <c r="M244" s="71"/>
      <c r="N244" s="71">
        <f t="shared" si="212"/>
        <v>0</v>
      </c>
      <c r="O244" s="71">
        <f t="shared" si="212"/>
        <v>0</v>
      </c>
      <c r="P244" s="71">
        <f t="shared" si="212"/>
        <v>200000</v>
      </c>
      <c r="Q244" s="71"/>
      <c r="R244" s="71"/>
      <c r="S244" s="71">
        <f t="shared" si="212"/>
        <v>0</v>
      </c>
      <c r="T244" s="71">
        <f t="shared" si="212"/>
        <v>0</v>
      </c>
      <c r="U244" s="71">
        <f t="shared" si="212"/>
        <v>200000</v>
      </c>
      <c r="V244" s="71"/>
      <c r="W244" s="71"/>
      <c r="X244" s="71">
        <f t="shared" si="212"/>
        <v>0</v>
      </c>
      <c r="Y244" s="71">
        <f t="shared" si="212"/>
        <v>0</v>
      </c>
      <c r="Z244" s="71">
        <f t="shared" si="212"/>
        <v>200000</v>
      </c>
    </row>
    <row r="245" spans="1:31" hidden="1" outlineLevel="1" x14ac:dyDescent="0.3">
      <c r="A245" s="39" t="s">
        <v>68</v>
      </c>
      <c r="C245" s="71">
        <f t="shared" ref="C245" si="213">IFERROR(CHOOSE($B$4,C59,C121,C183),"")</f>
        <v>0</v>
      </c>
      <c r="D245" s="71">
        <f t="shared" ref="D245:Z245" si="214">IFERROR(CHOOSE($B$4,D59,D121,D183),"")</f>
        <v>0</v>
      </c>
      <c r="E245" s="71">
        <f t="shared" si="214"/>
        <v>0</v>
      </c>
      <c r="F245" s="71">
        <f t="shared" si="214"/>
        <v>0</v>
      </c>
      <c r="G245" s="71"/>
      <c r="H245" s="71"/>
      <c r="I245" s="71">
        <f t="shared" si="214"/>
        <v>200000</v>
      </c>
      <c r="J245" s="71">
        <f t="shared" si="214"/>
        <v>12</v>
      </c>
      <c r="K245" s="71">
        <f t="shared" si="214"/>
        <v>2400000</v>
      </c>
      <c r="L245" s="71"/>
      <c r="M245" s="71"/>
      <c r="N245" s="71">
        <f t="shared" si="214"/>
        <v>100000</v>
      </c>
      <c r="O245" s="71">
        <f t="shared" si="214"/>
        <v>12</v>
      </c>
      <c r="P245" s="71">
        <f t="shared" si="214"/>
        <v>1200000</v>
      </c>
      <c r="Q245" s="71"/>
      <c r="R245" s="71"/>
      <c r="S245" s="71">
        <f t="shared" si="214"/>
        <v>120000</v>
      </c>
      <c r="T245" s="71">
        <f t="shared" si="214"/>
        <v>12</v>
      </c>
      <c r="U245" s="71">
        <f t="shared" si="214"/>
        <v>1440000</v>
      </c>
      <c r="V245" s="71"/>
      <c r="W245" s="71"/>
      <c r="X245" s="71">
        <f t="shared" si="214"/>
        <v>100000</v>
      </c>
      <c r="Y245" s="71">
        <f t="shared" si="214"/>
        <v>12</v>
      </c>
      <c r="Z245" s="71">
        <f t="shared" si="214"/>
        <v>1200000</v>
      </c>
    </row>
    <row r="246" spans="1:31" hidden="1" outlineLevel="1" x14ac:dyDescent="0.3">
      <c r="A246" s="39" t="s">
        <v>94</v>
      </c>
      <c r="C246" s="71">
        <f t="shared" ref="C246" si="215">IFERROR(CHOOSE($B$4,C60,C122,C184),"")</f>
        <v>0</v>
      </c>
      <c r="D246" s="71">
        <f t="shared" ref="D246:Z246" si="216">IFERROR(CHOOSE($B$4,D60,D122,D184),"")</f>
        <v>0</v>
      </c>
      <c r="E246" s="71">
        <f t="shared" si="216"/>
        <v>0</v>
      </c>
      <c r="F246" s="71">
        <f t="shared" si="216"/>
        <v>100000</v>
      </c>
      <c r="G246" s="71"/>
      <c r="H246" s="71"/>
      <c r="I246" s="71">
        <f t="shared" si="216"/>
        <v>0</v>
      </c>
      <c r="J246" s="71">
        <f t="shared" si="216"/>
        <v>0</v>
      </c>
      <c r="K246" s="71">
        <f t="shared" si="216"/>
        <v>100000</v>
      </c>
      <c r="L246" s="71"/>
      <c r="M246" s="71"/>
      <c r="N246" s="71">
        <f t="shared" si="216"/>
        <v>0</v>
      </c>
      <c r="O246" s="71">
        <f t="shared" si="216"/>
        <v>0</v>
      </c>
      <c r="P246" s="71">
        <f t="shared" si="216"/>
        <v>100000</v>
      </c>
      <c r="Q246" s="71"/>
      <c r="R246" s="71"/>
      <c r="S246" s="71">
        <f t="shared" si="216"/>
        <v>0</v>
      </c>
      <c r="T246" s="71">
        <f t="shared" si="216"/>
        <v>0</v>
      </c>
      <c r="U246" s="71">
        <f t="shared" si="216"/>
        <v>100000</v>
      </c>
      <c r="V246" s="71"/>
      <c r="W246" s="71"/>
      <c r="X246" s="71">
        <f t="shared" si="216"/>
        <v>0</v>
      </c>
      <c r="Y246" s="71">
        <f t="shared" si="216"/>
        <v>0</v>
      </c>
      <c r="Z246" s="71">
        <f t="shared" si="216"/>
        <v>100000</v>
      </c>
    </row>
    <row r="247" spans="1:31" ht="17.25" hidden="1" outlineLevel="1" thickBot="1" x14ac:dyDescent="0.35">
      <c r="C247" s="71"/>
      <c r="D247" s="71"/>
      <c r="E247" s="71"/>
      <c r="F247" s="72">
        <f>SUM(F238:F246)</f>
        <v>1900000</v>
      </c>
      <c r="G247" s="71"/>
      <c r="H247" s="71"/>
      <c r="I247" s="71"/>
      <c r="J247" s="71"/>
      <c r="K247" s="72">
        <f>SUM(K238:K246)</f>
        <v>7900000</v>
      </c>
      <c r="L247" s="71"/>
      <c r="M247" s="71"/>
      <c r="N247" s="71"/>
      <c r="O247" s="71"/>
      <c r="P247" s="72">
        <f>SUM(P239:P246)</f>
        <v>6020000</v>
      </c>
      <c r="Q247" s="71"/>
      <c r="R247" s="71"/>
      <c r="S247" s="71"/>
      <c r="T247" s="71"/>
      <c r="U247" s="72">
        <f>SUM(U239:U246)</f>
        <v>6260000</v>
      </c>
      <c r="V247" s="68"/>
      <c r="W247" s="68"/>
      <c r="X247" s="71"/>
      <c r="Y247" s="71"/>
      <c r="Z247" s="72">
        <f>SUM(Z238:Z246)</f>
        <v>5404000</v>
      </c>
    </row>
    <row r="248" spans="1:31" ht="18" hidden="1" outlineLevel="1" thickTop="1" x14ac:dyDescent="0.35">
      <c r="A248" s="4" t="s">
        <v>73</v>
      </c>
      <c r="B248" s="4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68"/>
      <c r="W248" s="68"/>
      <c r="X248" s="71"/>
      <c r="Y248" s="71"/>
      <c r="Z248" s="71"/>
    </row>
    <row r="249" spans="1:31" hidden="1" outlineLevel="1" x14ac:dyDescent="0.3">
      <c r="A249" s="3" t="s">
        <v>71</v>
      </c>
      <c r="C249" s="71"/>
      <c r="D249" s="71"/>
      <c r="E249" s="71"/>
      <c r="F249" s="60">
        <f>IFERROR(CHOOSE($B$4,F63,F125,F187),"")</f>
        <v>53040000.000000007</v>
      </c>
      <c r="G249" s="60">
        <f t="shared" ref="G249:Z249" si="217">IFERROR(CHOOSE($B$4,G63,G125,G187),"")</f>
        <v>0</v>
      </c>
      <c r="H249" s="60">
        <f t="shared" si="217"/>
        <v>0</v>
      </c>
      <c r="I249" s="60">
        <f t="shared" si="217"/>
        <v>0</v>
      </c>
      <c r="J249" s="60">
        <f t="shared" si="217"/>
        <v>0</v>
      </c>
      <c r="K249" s="60">
        <f t="shared" si="217"/>
        <v>50671414.112210929</v>
      </c>
      <c r="L249" s="60">
        <f t="shared" si="217"/>
        <v>0</v>
      </c>
      <c r="M249" s="60">
        <f t="shared" si="217"/>
        <v>0</v>
      </c>
      <c r="N249" s="60">
        <f t="shared" si="217"/>
        <v>0</v>
      </c>
      <c r="O249" s="60">
        <f t="shared" si="217"/>
        <v>0</v>
      </c>
      <c r="P249" s="60">
        <f t="shared" si="217"/>
        <v>47900168.62349771</v>
      </c>
      <c r="Q249" s="60">
        <f t="shared" si="217"/>
        <v>0</v>
      </c>
      <c r="R249" s="60">
        <f t="shared" si="217"/>
        <v>0</v>
      </c>
      <c r="S249" s="60">
        <f t="shared" si="217"/>
        <v>0</v>
      </c>
      <c r="T249" s="60">
        <f t="shared" si="217"/>
        <v>0</v>
      </c>
      <c r="U249" s="60">
        <f t="shared" si="217"/>
        <v>44657811.401703253</v>
      </c>
      <c r="V249" s="60">
        <f t="shared" si="217"/>
        <v>0</v>
      </c>
      <c r="W249" s="60">
        <f t="shared" si="217"/>
        <v>0</v>
      </c>
      <c r="X249" s="60">
        <f t="shared" si="217"/>
        <v>0</v>
      </c>
      <c r="Y249" s="60">
        <f t="shared" si="217"/>
        <v>0</v>
      </c>
      <c r="Z249" s="60">
        <f t="shared" si="217"/>
        <v>40864253.452203736</v>
      </c>
    </row>
    <row r="250" spans="1:31" hidden="1" outlineLevel="1" x14ac:dyDescent="0.3">
      <c r="A250" s="3" t="s">
        <v>72</v>
      </c>
      <c r="C250" s="71"/>
      <c r="D250" s="71"/>
      <c r="E250" s="71"/>
      <c r="F250" s="60">
        <f>IFERROR(CHOOSE($B$4,F64,F126,F188),"")</f>
        <v>0</v>
      </c>
      <c r="G250" s="60">
        <f t="shared" ref="G250:Z250" si="218">IFERROR(CHOOSE($B$4,G64,G126,G188),"")</f>
        <v>0</v>
      </c>
      <c r="H250" s="60">
        <f t="shared" si="218"/>
        <v>0</v>
      </c>
      <c r="I250" s="60">
        <f t="shared" si="218"/>
        <v>0</v>
      </c>
      <c r="J250" s="60">
        <f t="shared" si="218"/>
        <v>0</v>
      </c>
      <c r="K250" s="60">
        <f t="shared" si="218"/>
        <v>0</v>
      </c>
      <c r="L250" s="60">
        <f t="shared" si="218"/>
        <v>0</v>
      </c>
      <c r="M250" s="60">
        <f t="shared" si="218"/>
        <v>0</v>
      </c>
      <c r="N250" s="60">
        <f t="shared" si="218"/>
        <v>0</v>
      </c>
      <c r="O250" s="60">
        <f t="shared" si="218"/>
        <v>0</v>
      </c>
      <c r="P250" s="60">
        <f t="shared" si="218"/>
        <v>0</v>
      </c>
      <c r="Q250" s="60">
        <f t="shared" si="218"/>
        <v>0</v>
      </c>
      <c r="R250" s="60">
        <f t="shared" si="218"/>
        <v>0</v>
      </c>
      <c r="S250" s="60">
        <f t="shared" si="218"/>
        <v>0</v>
      </c>
      <c r="T250" s="60">
        <f t="shared" si="218"/>
        <v>0</v>
      </c>
      <c r="U250" s="60">
        <f t="shared" si="218"/>
        <v>0</v>
      </c>
      <c r="V250" s="60">
        <f t="shared" si="218"/>
        <v>0</v>
      </c>
      <c r="W250" s="60">
        <f t="shared" si="218"/>
        <v>0</v>
      </c>
      <c r="X250" s="60">
        <f t="shared" si="218"/>
        <v>0</v>
      </c>
      <c r="Y250" s="60">
        <f t="shared" si="218"/>
        <v>0</v>
      </c>
      <c r="Z250" s="60">
        <f t="shared" si="218"/>
        <v>0</v>
      </c>
    </row>
    <row r="251" spans="1:31" ht="17.25" hidden="1" outlineLevel="1" thickBot="1" x14ac:dyDescent="0.35">
      <c r="C251" s="71"/>
      <c r="D251" s="71"/>
      <c r="E251" s="71"/>
      <c r="F251" s="72">
        <f>SUM(F249:F250)</f>
        <v>53040000.000000007</v>
      </c>
      <c r="G251" s="71"/>
      <c r="H251" s="71"/>
      <c r="I251" s="71"/>
      <c r="J251" s="71"/>
      <c r="K251" s="72">
        <f>SUM(K249:K250)</f>
        <v>50671414.112210929</v>
      </c>
      <c r="L251" s="71"/>
      <c r="M251" s="71"/>
      <c r="N251" s="71"/>
      <c r="O251" s="71"/>
      <c r="P251" s="72">
        <f>SUM(P249:P250)</f>
        <v>47900168.62349771</v>
      </c>
      <c r="Q251" s="71"/>
      <c r="R251" s="71"/>
      <c r="S251" s="71"/>
      <c r="T251" s="71"/>
      <c r="U251" s="72">
        <f>SUM(U249:U250)</f>
        <v>44657811.401703253</v>
      </c>
      <c r="V251" s="68"/>
      <c r="W251" s="68"/>
      <c r="X251" s="71"/>
      <c r="Y251" s="71"/>
      <c r="Z251" s="72">
        <f>SUM(Z249:Z250)</f>
        <v>40864253.452203736</v>
      </c>
    </row>
    <row r="252" spans="1:31" ht="17.25" hidden="1" outlineLevel="1" thickTop="1" x14ac:dyDescent="0.3"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68"/>
      <c r="W252" s="68"/>
      <c r="X252" s="71"/>
      <c r="Y252" s="71"/>
      <c r="Z252" s="71"/>
    </row>
    <row r="253" spans="1:31" hidden="1" outlineLevel="1" x14ac:dyDescent="0.3">
      <c r="A253" s="3" t="s">
        <v>69</v>
      </c>
      <c r="C253" s="71"/>
      <c r="D253" s="71">
        <v>70000</v>
      </c>
      <c r="E253" s="71">
        <v>5</v>
      </c>
      <c r="F253" s="71">
        <f>D253*E253</f>
        <v>350000</v>
      </c>
      <c r="G253" s="71"/>
      <c r="H253" s="71"/>
      <c r="I253" s="71">
        <v>70000</v>
      </c>
      <c r="J253" s="71">
        <v>10</v>
      </c>
      <c r="K253" s="71">
        <f>I253*J253</f>
        <v>700000</v>
      </c>
      <c r="L253" s="71"/>
      <c r="M253" s="71"/>
      <c r="N253" s="71">
        <v>70000</v>
      </c>
      <c r="O253" s="71">
        <v>15</v>
      </c>
      <c r="P253" s="71">
        <f>N253*O253</f>
        <v>1050000</v>
      </c>
      <c r="Q253" s="71"/>
      <c r="R253" s="71"/>
      <c r="S253" s="71">
        <v>70000</v>
      </c>
      <c r="T253" s="71">
        <v>20</v>
      </c>
      <c r="U253" s="71">
        <f>S253*T253</f>
        <v>1400000</v>
      </c>
      <c r="V253" s="68"/>
      <c r="W253" s="68"/>
      <c r="X253" s="71">
        <v>70000</v>
      </c>
      <c r="Y253" s="71">
        <v>25</v>
      </c>
      <c r="Z253" s="71">
        <f>X253*Y253</f>
        <v>1750000</v>
      </c>
    </row>
    <row r="254" spans="1:31" x14ac:dyDescent="0.3"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</row>
    <row r="255" spans="1:31" ht="17.25" collapsed="1" x14ac:dyDescent="0.35">
      <c r="A255" s="1" t="s">
        <v>6</v>
      </c>
      <c r="B255" s="1"/>
      <c r="C255" s="74"/>
      <c r="D255" s="74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</row>
    <row r="256" spans="1:31" ht="17.25" hidden="1" outlineLevel="1" x14ac:dyDescent="0.35">
      <c r="A256" s="40" t="s">
        <v>238</v>
      </c>
      <c r="B256" s="179">
        <v>0.3</v>
      </c>
      <c r="C256" s="209" t="s">
        <v>0</v>
      </c>
      <c r="D256" s="209"/>
      <c r="E256" s="209"/>
      <c r="F256" s="209"/>
      <c r="G256" s="77"/>
      <c r="H256" s="209" t="s">
        <v>1</v>
      </c>
      <c r="I256" s="209"/>
      <c r="J256" s="209"/>
      <c r="K256" s="209"/>
      <c r="L256" s="77"/>
      <c r="M256" s="209" t="s">
        <v>2</v>
      </c>
      <c r="N256" s="209"/>
      <c r="O256" s="209"/>
      <c r="P256" s="209"/>
      <c r="Q256" s="77"/>
      <c r="R256" s="209" t="s">
        <v>3</v>
      </c>
      <c r="S256" s="209"/>
      <c r="T256" s="209"/>
      <c r="U256" s="209"/>
      <c r="V256" s="77"/>
      <c r="W256" s="209" t="s">
        <v>4</v>
      </c>
      <c r="X256" s="209"/>
      <c r="Y256" s="209"/>
      <c r="Z256" s="209"/>
      <c r="AB256" s="4"/>
      <c r="AC256" s="4"/>
      <c r="AD256" s="4"/>
      <c r="AE256" s="4"/>
    </row>
    <row r="257" spans="1:31" ht="17.25" hidden="1" outlineLevel="1" x14ac:dyDescent="0.35">
      <c r="C257" s="78" t="s">
        <v>14</v>
      </c>
      <c r="D257" s="78" t="s">
        <v>15</v>
      </c>
      <c r="E257" s="78" t="s">
        <v>16</v>
      </c>
      <c r="F257" s="78" t="s">
        <v>82</v>
      </c>
      <c r="G257" s="78"/>
      <c r="H257" s="78" t="s">
        <v>14</v>
      </c>
      <c r="I257" s="78" t="s">
        <v>15</v>
      </c>
      <c r="J257" s="78" t="s">
        <v>16</v>
      </c>
      <c r="K257" s="78" t="s">
        <v>82</v>
      </c>
      <c r="L257" s="78"/>
      <c r="M257" s="78" t="s">
        <v>14</v>
      </c>
      <c r="N257" s="78" t="s">
        <v>15</v>
      </c>
      <c r="O257" s="78" t="s">
        <v>16</v>
      </c>
      <c r="P257" s="78" t="s">
        <v>82</v>
      </c>
      <c r="Q257" s="78"/>
      <c r="R257" s="78" t="s">
        <v>14</v>
      </c>
      <c r="S257" s="78" t="s">
        <v>15</v>
      </c>
      <c r="T257" s="78" t="s">
        <v>16</v>
      </c>
      <c r="U257" s="78" t="s">
        <v>82</v>
      </c>
      <c r="V257" s="78"/>
      <c r="W257" s="78" t="s">
        <v>14</v>
      </c>
      <c r="X257" s="78" t="s">
        <v>15</v>
      </c>
      <c r="Y257" s="78" t="s">
        <v>16</v>
      </c>
      <c r="Z257" s="78" t="s">
        <v>82</v>
      </c>
      <c r="AB257" s="4"/>
      <c r="AC257" s="4"/>
      <c r="AD257" s="4"/>
      <c r="AE257" s="4"/>
    </row>
    <row r="258" spans="1:31" s="6" customFormat="1" ht="17.25" hidden="1" outlineLevel="1" x14ac:dyDescent="0.35">
      <c r="A258" s="3" t="s">
        <v>7</v>
      </c>
      <c r="B258" s="3"/>
      <c r="C258" s="79">
        <f>C194</f>
        <v>5831250</v>
      </c>
      <c r="D258" s="79">
        <f t="shared" ref="D258:Z258" si="219">D194</f>
        <v>17746500</v>
      </c>
      <c r="E258" s="79">
        <f t="shared" si="219"/>
        <v>40254000</v>
      </c>
      <c r="F258" s="79">
        <f>F194</f>
        <v>63831750</v>
      </c>
      <c r="G258" s="80"/>
      <c r="H258" s="80">
        <f t="shared" si="219"/>
        <v>18805781.25</v>
      </c>
      <c r="I258" s="80">
        <f t="shared" si="219"/>
        <v>57232462.5</v>
      </c>
      <c r="J258" s="80">
        <f t="shared" si="219"/>
        <v>129819150</v>
      </c>
      <c r="K258" s="80">
        <f>K194</f>
        <v>205857393.75</v>
      </c>
      <c r="L258" s="80"/>
      <c r="M258" s="80">
        <f t="shared" si="219"/>
        <v>33693691.40625</v>
      </c>
      <c r="N258" s="80">
        <f t="shared" si="219"/>
        <v>102541495.3125</v>
      </c>
      <c r="O258" s="80">
        <f t="shared" si="219"/>
        <v>232592643.75</v>
      </c>
      <c r="P258" s="80">
        <f t="shared" si="219"/>
        <v>368827830.46875</v>
      </c>
      <c r="Q258" s="80"/>
      <c r="R258" s="80">
        <f t="shared" si="219"/>
        <v>50709005.56640625</v>
      </c>
      <c r="S258" s="80">
        <f t="shared" si="219"/>
        <v>154324950.4453125</v>
      </c>
      <c r="T258" s="80">
        <f t="shared" si="219"/>
        <v>350051928.84375</v>
      </c>
      <c r="U258" s="80">
        <f t="shared" si="219"/>
        <v>555085884.85546875</v>
      </c>
      <c r="V258" s="80"/>
      <c r="W258" s="80">
        <f t="shared" si="219"/>
        <v>70087089.836425781</v>
      </c>
      <c r="X258" s="80">
        <f t="shared" si="219"/>
        <v>213299127.93691406</v>
      </c>
      <c r="Y258" s="80">
        <f t="shared" si="219"/>
        <v>483821773.08046871</v>
      </c>
      <c r="Z258" s="80">
        <f t="shared" si="219"/>
        <v>767207990.85380864</v>
      </c>
      <c r="AA258" s="3"/>
      <c r="AB258" s="4"/>
      <c r="AC258" s="4"/>
      <c r="AD258" s="4"/>
      <c r="AE258" s="4"/>
    </row>
    <row r="259" spans="1:31" s="6" customFormat="1" ht="17.25" hidden="1" outlineLevel="1" x14ac:dyDescent="0.35">
      <c r="A259" s="3" t="s">
        <v>8</v>
      </c>
      <c r="B259" s="3"/>
      <c r="C259" s="79">
        <f>C195</f>
        <v>1000000</v>
      </c>
      <c r="D259" s="79">
        <f t="shared" ref="D259:Z264" si="220">D195</f>
        <v>1500000</v>
      </c>
      <c r="E259" s="79">
        <f t="shared" si="220"/>
        <v>1750000</v>
      </c>
      <c r="F259" s="79">
        <f>F195</f>
        <v>4250000</v>
      </c>
      <c r="G259" s="80"/>
      <c r="H259" s="80">
        <f t="shared" si="220"/>
        <v>3000000</v>
      </c>
      <c r="I259" s="80">
        <f t="shared" si="220"/>
        <v>4500000</v>
      </c>
      <c r="J259" s="80">
        <f t="shared" si="220"/>
        <v>5250000</v>
      </c>
      <c r="K259" s="80">
        <f t="shared" si="220"/>
        <v>12750000</v>
      </c>
      <c r="L259" s="80"/>
      <c r="M259" s="80">
        <f t="shared" si="220"/>
        <v>5000000</v>
      </c>
      <c r="N259" s="80">
        <f t="shared" si="220"/>
        <v>7500000</v>
      </c>
      <c r="O259" s="80">
        <f t="shared" si="220"/>
        <v>8750000</v>
      </c>
      <c r="P259" s="80">
        <f t="shared" si="220"/>
        <v>21250000</v>
      </c>
      <c r="Q259" s="80"/>
      <c r="R259" s="80">
        <f t="shared" si="220"/>
        <v>7000000</v>
      </c>
      <c r="S259" s="80">
        <f t="shared" si="220"/>
        <v>10500000</v>
      </c>
      <c r="T259" s="80">
        <f t="shared" si="220"/>
        <v>12250000</v>
      </c>
      <c r="U259" s="80">
        <f t="shared" si="220"/>
        <v>29750000</v>
      </c>
      <c r="V259" s="80"/>
      <c r="W259" s="80">
        <f t="shared" si="220"/>
        <v>9000000</v>
      </c>
      <c r="X259" s="80">
        <f t="shared" si="220"/>
        <v>13500000</v>
      </c>
      <c r="Y259" s="80">
        <f t="shared" si="220"/>
        <v>15750000</v>
      </c>
      <c r="Z259" s="80">
        <f t="shared" si="220"/>
        <v>38250000</v>
      </c>
      <c r="AA259" s="3"/>
      <c r="AB259" s="4"/>
      <c r="AC259" s="4"/>
      <c r="AD259" s="4"/>
      <c r="AE259" s="4"/>
    </row>
    <row r="260" spans="1:31" s="6" customFormat="1" ht="17.25" hidden="1" outlineLevel="1" x14ac:dyDescent="0.35">
      <c r="A260" s="3" t="s">
        <v>10</v>
      </c>
      <c r="B260" s="3"/>
      <c r="C260" s="79">
        <f t="shared" ref="C260:R264" si="221">C196</f>
        <v>1400000</v>
      </c>
      <c r="D260" s="79">
        <f t="shared" si="221"/>
        <v>2100000</v>
      </c>
      <c r="E260" s="79">
        <f t="shared" si="221"/>
        <v>2450000</v>
      </c>
      <c r="F260" s="79">
        <f t="shared" si="221"/>
        <v>5950000</v>
      </c>
      <c r="G260" s="80"/>
      <c r="H260" s="80">
        <f t="shared" si="221"/>
        <v>4200000</v>
      </c>
      <c r="I260" s="80">
        <f t="shared" si="221"/>
        <v>6300000</v>
      </c>
      <c r="J260" s="80">
        <f t="shared" si="221"/>
        <v>7350000</v>
      </c>
      <c r="K260" s="80">
        <f t="shared" si="221"/>
        <v>17850000</v>
      </c>
      <c r="L260" s="80"/>
      <c r="M260" s="80">
        <f t="shared" si="221"/>
        <v>7000000</v>
      </c>
      <c r="N260" s="80">
        <f t="shared" si="221"/>
        <v>10500000</v>
      </c>
      <c r="O260" s="80">
        <f t="shared" si="221"/>
        <v>12250000</v>
      </c>
      <c r="P260" s="80">
        <f t="shared" si="221"/>
        <v>29750000</v>
      </c>
      <c r="Q260" s="80"/>
      <c r="R260" s="80">
        <f t="shared" si="221"/>
        <v>9800000</v>
      </c>
      <c r="S260" s="80">
        <f t="shared" si="220"/>
        <v>14700000</v>
      </c>
      <c r="T260" s="80">
        <f t="shared" si="220"/>
        <v>17150000</v>
      </c>
      <c r="U260" s="80">
        <f t="shared" si="220"/>
        <v>41650000</v>
      </c>
      <c r="V260" s="80"/>
      <c r="W260" s="80">
        <f t="shared" si="220"/>
        <v>12600000</v>
      </c>
      <c r="X260" s="80">
        <f t="shared" si="220"/>
        <v>18900000</v>
      </c>
      <c r="Y260" s="80">
        <f t="shared" si="220"/>
        <v>22050000</v>
      </c>
      <c r="Z260" s="80">
        <f t="shared" si="220"/>
        <v>53550000</v>
      </c>
      <c r="AA260" s="3"/>
      <c r="AB260" s="4"/>
      <c r="AC260" s="4"/>
      <c r="AD260" s="4"/>
      <c r="AE260" s="4"/>
    </row>
    <row r="261" spans="1:31" s="6" customFormat="1" hidden="1" outlineLevel="1" x14ac:dyDescent="0.3">
      <c r="A261" s="3" t="s">
        <v>9</v>
      </c>
      <c r="B261" s="3"/>
      <c r="C261" s="79">
        <f t="shared" si="221"/>
        <v>3000000</v>
      </c>
      <c r="D261" s="79">
        <f t="shared" si="220"/>
        <v>4500000</v>
      </c>
      <c r="E261" s="79">
        <f t="shared" si="220"/>
        <v>5250000</v>
      </c>
      <c r="F261" s="79">
        <f t="shared" si="220"/>
        <v>12750000</v>
      </c>
      <c r="G261" s="80"/>
      <c r="H261" s="80">
        <f t="shared" si="220"/>
        <v>9000000</v>
      </c>
      <c r="I261" s="80">
        <f t="shared" si="220"/>
        <v>13500000</v>
      </c>
      <c r="J261" s="80">
        <f t="shared" si="220"/>
        <v>15750000</v>
      </c>
      <c r="K261" s="80">
        <f t="shared" si="220"/>
        <v>38250000</v>
      </c>
      <c r="L261" s="80"/>
      <c r="M261" s="80">
        <f t="shared" si="220"/>
        <v>15000000</v>
      </c>
      <c r="N261" s="80">
        <f t="shared" si="220"/>
        <v>22500000</v>
      </c>
      <c r="O261" s="80">
        <f t="shared" si="220"/>
        <v>26250000</v>
      </c>
      <c r="P261" s="80">
        <f t="shared" si="220"/>
        <v>63750000</v>
      </c>
      <c r="Q261" s="80"/>
      <c r="R261" s="80">
        <f t="shared" si="220"/>
        <v>21000000</v>
      </c>
      <c r="S261" s="80">
        <f t="shared" si="220"/>
        <v>31500000</v>
      </c>
      <c r="T261" s="80">
        <f t="shared" si="220"/>
        <v>36750000</v>
      </c>
      <c r="U261" s="80">
        <f t="shared" si="220"/>
        <v>89250000</v>
      </c>
      <c r="V261" s="80"/>
      <c r="W261" s="80">
        <f t="shared" si="220"/>
        <v>27000000</v>
      </c>
      <c r="X261" s="80">
        <f t="shared" si="220"/>
        <v>40500000</v>
      </c>
      <c r="Y261" s="80">
        <f t="shared" si="220"/>
        <v>47250000</v>
      </c>
      <c r="Z261" s="80">
        <f t="shared" si="220"/>
        <v>114750000</v>
      </c>
      <c r="AA261" s="3"/>
    </row>
    <row r="262" spans="1:31" s="6" customFormat="1" hidden="1" outlineLevel="1" x14ac:dyDescent="0.3">
      <c r="A262" s="3" t="s">
        <v>11</v>
      </c>
      <c r="B262" s="3"/>
      <c r="C262" s="79">
        <f t="shared" si="221"/>
        <v>2520000</v>
      </c>
      <c r="D262" s="79">
        <f t="shared" si="220"/>
        <v>4185000</v>
      </c>
      <c r="E262" s="79">
        <f t="shared" si="220"/>
        <v>5355000</v>
      </c>
      <c r="F262" s="79">
        <f t="shared" si="220"/>
        <v>12060000</v>
      </c>
      <c r="G262" s="80"/>
      <c r="H262" s="80">
        <f t="shared" si="220"/>
        <v>7560000</v>
      </c>
      <c r="I262" s="80">
        <f t="shared" si="220"/>
        <v>12555000</v>
      </c>
      <c r="J262" s="80">
        <f t="shared" si="220"/>
        <v>16065000</v>
      </c>
      <c r="K262" s="80">
        <f t="shared" si="220"/>
        <v>36180000</v>
      </c>
      <c r="L262" s="80"/>
      <c r="M262" s="80">
        <f t="shared" si="220"/>
        <v>12600000</v>
      </c>
      <c r="N262" s="80">
        <f t="shared" si="220"/>
        <v>20925000</v>
      </c>
      <c r="O262" s="80">
        <f t="shared" si="220"/>
        <v>26775000</v>
      </c>
      <c r="P262" s="80">
        <f t="shared" si="220"/>
        <v>60300000</v>
      </c>
      <c r="Q262" s="80"/>
      <c r="R262" s="80">
        <f t="shared" si="220"/>
        <v>17640000</v>
      </c>
      <c r="S262" s="80">
        <f t="shared" si="220"/>
        <v>29295000</v>
      </c>
      <c r="T262" s="80">
        <f t="shared" si="220"/>
        <v>37485000</v>
      </c>
      <c r="U262" s="80">
        <f t="shared" si="220"/>
        <v>84420000</v>
      </c>
      <c r="V262" s="80"/>
      <c r="W262" s="80">
        <f t="shared" si="220"/>
        <v>22680000</v>
      </c>
      <c r="X262" s="80">
        <f t="shared" si="220"/>
        <v>37665000</v>
      </c>
      <c r="Y262" s="80">
        <f t="shared" si="220"/>
        <v>48195000</v>
      </c>
      <c r="Z262" s="80">
        <f t="shared" si="220"/>
        <v>108540000</v>
      </c>
      <c r="AA262" s="3"/>
    </row>
    <row r="263" spans="1:31" s="6" customFormat="1" hidden="1" outlineLevel="1" x14ac:dyDescent="0.3">
      <c r="A263" s="3" t="s">
        <v>12</v>
      </c>
      <c r="B263" s="3"/>
      <c r="C263" s="79">
        <f t="shared" si="221"/>
        <v>1938000</v>
      </c>
      <c r="D263" s="79">
        <f t="shared" si="220"/>
        <v>3343500</v>
      </c>
      <c r="E263" s="79">
        <f t="shared" si="220"/>
        <v>4226250</v>
      </c>
      <c r="F263" s="79">
        <f t="shared" si="220"/>
        <v>9507750</v>
      </c>
      <c r="G263" s="80"/>
      <c r="H263" s="80">
        <f t="shared" si="220"/>
        <v>5814000</v>
      </c>
      <c r="I263" s="80">
        <f t="shared" si="220"/>
        <v>10030500</v>
      </c>
      <c r="J263" s="80">
        <f t="shared" si="220"/>
        <v>12678750</v>
      </c>
      <c r="K263" s="80">
        <f t="shared" si="220"/>
        <v>28523250</v>
      </c>
      <c r="L263" s="80"/>
      <c r="M263" s="80">
        <f t="shared" si="220"/>
        <v>9690000</v>
      </c>
      <c r="N263" s="80">
        <f t="shared" si="220"/>
        <v>16717500</v>
      </c>
      <c r="O263" s="80">
        <f t="shared" si="220"/>
        <v>21131250</v>
      </c>
      <c r="P263" s="80">
        <f t="shared" si="220"/>
        <v>47538750</v>
      </c>
      <c r="Q263" s="80"/>
      <c r="R263" s="80">
        <f t="shared" si="220"/>
        <v>13566000</v>
      </c>
      <c r="S263" s="80">
        <f t="shared" si="220"/>
        <v>23404500</v>
      </c>
      <c r="T263" s="80">
        <f t="shared" si="220"/>
        <v>29583750</v>
      </c>
      <c r="U263" s="80">
        <f t="shared" si="220"/>
        <v>66554250</v>
      </c>
      <c r="V263" s="80"/>
      <c r="W263" s="80">
        <f t="shared" si="220"/>
        <v>17442000</v>
      </c>
      <c r="X263" s="80">
        <f t="shared" si="220"/>
        <v>30091500</v>
      </c>
      <c r="Y263" s="80">
        <f t="shared" si="220"/>
        <v>38036250</v>
      </c>
      <c r="Z263" s="80">
        <f t="shared" si="220"/>
        <v>85569750</v>
      </c>
      <c r="AA263" s="3"/>
    </row>
    <row r="264" spans="1:31" s="6" customFormat="1" hidden="1" outlineLevel="1" x14ac:dyDescent="0.3">
      <c r="A264" s="3" t="s">
        <v>13</v>
      </c>
      <c r="B264" s="3"/>
      <c r="C264" s="79">
        <f t="shared" si="221"/>
        <v>810000</v>
      </c>
      <c r="D264" s="79">
        <f t="shared" si="220"/>
        <v>2052000</v>
      </c>
      <c r="E264" s="79">
        <f t="shared" si="220"/>
        <v>3053250</v>
      </c>
      <c r="F264" s="79">
        <f t="shared" si="220"/>
        <v>5915250</v>
      </c>
      <c r="G264" s="80"/>
      <c r="H264" s="80">
        <f t="shared" si="220"/>
        <v>2430000</v>
      </c>
      <c r="I264" s="80">
        <f t="shared" si="220"/>
        <v>6156000</v>
      </c>
      <c r="J264" s="80">
        <f t="shared" si="220"/>
        <v>9159750</v>
      </c>
      <c r="K264" s="80">
        <f t="shared" si="220"/>
        <v>17745750</v>
      </c>
      <c r="L264" s="80"/>
      <c r="M264" s="80">
        <f t="shared" si="220"/>
        <v>4050000</v>
      </c>
      <c r="N264" s="80">
        <f t="shared" si="220"/>
        <v>10260000</v>
      </c>
      <c r="O264" s="80">
        <f t="shared" si="220"/>
        <v>15266250</v>
      </c>
      <c r="P264" s="80">
        <f t="shared" si="220"/>
        <v>29576250</v>
      </c>
      <c r="Q264" s="80"/>
      <c r="R264" s="80">
        <f t="shared" si="220"/>
        <v>5670000</v>
      </c>
      <c r="S264" s="80">
        <f t="shared" si="220"/>
        <v>14364000</v>
      </c>
      <c r="T264" s="80">
        <f t="shared" si="220"/>
        <v>21372750</v>
      </c>
      <c r="U264" s="80">
        <f t="shared" si="220"/>
        <v>41406750</v>
      </c>
      <c r="V264" s="80"/>
      <c r="W264" s="80">
        <f t="shared" si="220"/>
        <v>7290000</v>
      </c>
      <c r="X264" s="80">
        <f t="shared" si="220"/>
        <v>18468000</v>
      </c>
      <c r="Y264" s="80">
        <f t="shared" si="220"/>
        <v>27479250</v>
      </c>
      <c r="Z264" s="80">
        <f t="shared" si="220"/>
        <v>53237250</v>
      </c>
      <c r="AA264" s="3"/>
    </row>
    <row r="265" spans="1:31" s="6" customFormat="1" ht="18" hidden="1" outlineLevel="1" thickBot="1" x14ac:dyDescent="0.4">
      <c r="A265" s="32" t="s">
        <v>17</v>
      </c>
      <c r="B265" s="32"/>
      <c r="C265" s="81">
        <f>SUM(C258:C264)</f>
        <v>16499250</v>
      </c>
      <c r="D265" s="81">
        <f t="shared" ref="D265:F265" si="222">SUM(D258:D264)</f>
        <v>35427000</v>
      </c>
      <c r="E265" s="81">
        <f t="shared" si="222"/>
        <v>62338500</v>
      </c>
      <c r="F265" s="81">
        <f t="shared" si="222"/>
        <v>114264750</v>
      </c>
      <c r="G265" s="81"/>
      <c r="H265" s="81">
        <f>SUM(H258:H264)</f>
        <v>50809781.25</v>
      </c>
      <c r="I265" s="81">
        <f t="shared" ref="I265:Y265" si="223">SUM(I258:I264)</f>
        <v>110273962.5</v>
      </c>
      <c r="J265" s="81">
        <f t="shared" si="223"/>
        <v>196072650</v>
      </c>
      <c r="K265" s="81">
        <f t="shared" si="223"/>
        <v>357156393.75</v>
      </c>
      <c r="L265" s="81"/>
      <c r="M265" s="81">
        <f t="shared" si="223"/>
        <v>87033691.40625</v>
      </c>
      <c r="N265" s="81">
        <f t="shared" si="223"/>
        <v>190943995.3125</v>
      </c>
      <c r="O265" s="81">
        <f t="shared" si="223"/>
        <v>343015143.75</v>
      </c>
      <c r="P265" s="81">
        <f t="shared" si="223"/>
        <v>620992830.46875</v>
      </c>
      <c r="Q265" s="81"/>
      <c r="R265" s="81">
        <f t="shared" si="223"/>
        <v>125385005.56640625</v>
      </c>
      <c r="S265" s="81">
        <f t="shared" si="223"/>
        <v>278088450.4453125</v>
      </c>
      <c r="T265" s="81">
        <f t="shared" si="223"/>
        <v>504643428.84375</v>
      </c>
      <c r="U265" s="81">
        <f t="shared" si="223"/>
        <v>908116884.85546875</v>
      </c>
      <c r="V265" s="81"/>
      <c r="W265" s="81">
        <f t="shared" si="223"/>
        <v>166099089.83642578</v>
      </c>
      <c r="X265" s="81">
        <f t="shared" si="223"/>
        <v>372423627.93691409</v>
      </c>
      <c r="Y265" s="81">
        <f t="shared" si="223"/>
        <v>682582273.08046865</v>
      </c>
      <c r="Z265" s="81">
        <f>SUM(Z258:Z264)</f>
        <v>1221104990.8538086</v>
      </c>
      <c r="AA265" s="3"/>
    </row>
    <row r="266" spans="1:31" hidden="1" outlineLevel="1" x14ac:dyDescent="0.3"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31" ht="17.25" hidden="1" outlineLevel="1" x14ac:dyDescent="0.35">
      <c r="A267" s="4" t="s">
        <v>58</v>
      </c>
      <c r="B267" s="4"/>
      <c r="C267" s="68"/>
      <c r="D267" s="68"/>
      <c r="E267" s="68"/>
      <c r="F267" s="68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</row>
    <row r="268" spans="1:31" hidden="1" outlineLevel="1" x14ac:dyDescent="0.3">
      <c r="A268" s="3" t="s">
        <v>39</v>
      </c>
      <c r="C268" s="68"/>
      <c r="D268" s="68"/>
      <c r="E268" s="68"/>
      <c r="F268" s="82">
        <f>IF(OR($B$4="",$B$4=0),"",IFERROR(F222, " "))</f>
        <v>81051900</v>
      </c>
      <c r="G268" s="83"/>
      <c r="H268" s="83"/>
      <c r="I268" s="83"/>
      <c r="J268" s="83"/>
      <c r="K268" s="83">
        <f t="shared" ref="K268:Z268" si="224">IF(OR($B$4="",$B$4=0),"",IFERROR(K222, " "))</f>
        <v>129462900</v>
      </c>
      <c r="L268" s="83"/>
      <c r="M268" s="83"/>
      <c r="N268" s="83"/>
      <c r="O268" s="83"/>
      <c r="P268" s="83">
        <f t="shared" si="224"/>
        <v>186731790</v>
      </c>
      <c r="Q268" s="83"/>
      <c r="R268" s="83"/>
      <c r="S268" s="83"/>
      <c r="T268" s="83"/>
      <c r="U268" s="83">
        <f t="shared" si="224"/>
        <v>238343790.00000003</v>
      </c>
      <c r="V268" s="83"/>
      <c r="W268" s="83"/>
      <c r="X268" s="83"/>
      <c r="Y268" s="83"/>
      <c r="Z268" s="83">
        <f t="shared" si="224"/>
        <v>313018269.00000012</v>
      </c>
    </row>
    <row r="269" spans="1:31" hidden="1" outlineLevel="1" x14ac:dyDescent="0.3">
      <c r="A269" s="3" t="s">
        <v>60</v>
      </c>
      <c r="C269" s="68"/>
      <c r="D269" s="68"/>
      <c r="E269" s="68"/>
      <c r="F269" s="82">
        <f>IF(OR($B$4="",$B$4=0),"",IFERROR(F235,""))</f>
        <v>11150000</v>
      </c>
      <c r="G269" s="83"/>
      <c r="H269" s="83"/>
      <c r="I269" s="83"/>
      <c r="J269" s="83"/>
      <c r="K269" s="83">
        <f t="shared" ref="K269:Z269" si="225">IF(OR($B$4="",$B$4=0),"",IFERROR(K235,""))</f>
        <v>15950000</v>
      </c>
      <c r="L269" s="83"/>
      <c r="M269" s="83"/>
      <c r="N269" s="83"/>
      <c r="O269" s="83"/>
      <c r="P269" s="83">
        <f t="shared" si="225"/>
        <v>15770000</v>
      </c>
      <c r="Q269" s="83"/>
      <c r="R269" s="83"/>
      <c r="S269" s="83"/>
      <c r="T269" s="83"/>
      <c r="U269" s="83">
        <f t="shared" si="225"/>
        <v>19287896</v>
      </c>
      <c r="V269" s="83"/>
      <c r="W269" s="83"/>
      <c r="X269" s="83"/>
      <c r="Y269" s="83"/>
      <c r="Z269" s="83">
        <f t="shared" si="225"/>
        <v>21215840</v>
      </c>
    </row>
    <row r="270" spans="1:31" hidden="1" outlineLevel="1" x14ac:dyDescent="0.3">
      <c r="A270" s="3" t="s">
        <v>102</v>
      </c>
      <c r="C270" s="68"/>
      <c r="D270" s="68"/>
      <c r="E270" s="68"/>
      <c r="F270" s="82">
        <f>IF(OR($B$4="",$B$4=0),"",IFERROR(F247,""))</f>
        <v>1900000</v>
      </c>
      <c r="G270" s="83"/>
      <c r="H270" s="83"/>
      <c r="I270" s="83"/>
      <c r="J270" s="83"/>
      <c r="K270" s="83">
        <f t="shared" ref="K270:Z270" si="226">IF(OR($B$4="",$B$4=0),"",IFERROR(K247,""))</f>
        <v>7900000</v>
      </c>
      <c r="L270" s="83"/>
      <c r="M270" s="83"/>
      <c r="N270" s="83"/>
      <c r="O270" s="83"/>
      <c r="P270" s="83">
        <f t="shared" si="226"/>
        <v>6020000</v>
      </c>
      <c r="Q270" s="83"/>
      <c r="R270" s="83"/>
      <c r="S270" s="83"/>
      <c r="T270" s="83"/>
      <c r="U270" s="83">
        <f t="shared" si="226"/>
        <v>6260000</v>
      </c>
      <c r="V270" s="83"/>
      <c r="W270" s="83"/>
      <c r="X270" s="83"/>
      <c r="Y270" s="83"/>
      <c r="Z270" s="83">
        <f t="shared" si="226"/>
        <v>5404000</v>
      </c>
    </row>
    <row r="271" spans="1:31" hidden="1" outlineLevel="1" x14ac:dyDescent="0.3">
      <c r="A271" s="3" t="s">
        <v>146</v>
      </c>
      <c r="C271" s="68"/>
      <c r="D271" s="68"/>
      <c r="E271" s="68"/>
      <c r="F271" s="82">
        <f>SUM(F380:F385)</f>
        <v>38725000</v>
      </c>
      <c r="G271" s="82"/>
      <c r="H271" s="82"/>
      <c r="I271" s="82"/>
      <c r="J271" s="82"/>
      <c r="K271" s="82">
        <f>SUM(K380:K385)</f>
        <v>38725000</v>
      </c>
      <c r="L271" s="83"/>
      <c r="M271" s="83"/>
      <c r="N271" s="83"/>
      <c r="O271" s="83"/>
      <c r="P271" s="82">
        <f>SUM(P380:P385)</f>
        <v>38725000</v>
      </c>
      <c r="Q271" s="83"/>
      <c r="R271" s="83"/>
      <c r="S271" s="83"/>
      <c r="T271" s="83"/>
      <c r="U271" s="82">
        <f>SUM(U380:U385)</f>
        <v>44725000</v>
      </c>
      <c r="V271" s="83"/>
      <c r="W271" s="83"/>
      <c r="X271" s="83"/>
      <c r="Y271" s="83"/>
      <c r="Z271" s="82">
        <f>SUM(Z380:Z385)</f>
        <v>28800000</v>
      </c>
    </row>
    <row r="272" spans="1:31" hidden="1" outlineLevel="1" x14ac:dyDescent="0.3">
      <c r="A272" s="3" t="s">
        <v>69</v>
      </c>
      <c r="C272" s="68"/>
      <c r="D272" s="68"/>
      <c r="E272" s="68"/>
      <c r="F272" s="82">
        <f>IF(OR($B$4="",$B$4=0),"",IFERROR(F253,""))</f>
        <v>350000</v>
      </c>
      <c r="G272" s="83"/>
      <c r="H272" s="83"/>
      <c r="I272" s="83"/>
      <c r="J272" s="83"/>
      <c r="K272" s="83">
        <f t="shared" ref="K272:Z272" si="227">IF(OR($B$4="",$B$4=0),"",IFERROR(K253,""))</f>
        <v>700000</v>
      </c>
      <c r="L272" s="83"/>
      <c r="M272" s="83"/>
      <c r="N272" s="83"/>
      <c r="O272" s="83"/>
      <c r="P272" s="83">
        <f t="shared" si="227"/>
        <v>1050000</v>
      </c>
      <c r="Q272" s="83"/>
      <c r="R272" s="83"/>
      <c r="S272" s="83"/>
      <c r="T272" s="83"/>
      <c r="U272" s="83">
        <f t="shared" si="227"/>
        <v>1400000</v>
      </c>
      <c r="V272" s="83"/>
      <c r="W272" s="83"/>
      <c r="X272" s="83"/>
      <c r="Y272" s="83"/>
      <c r="Z272" s="83">
        <f t="shared" si="227"/>
        <v>1750000</v>
      </c>
    </row>
    <row r="273" spans="1:27" ht="17.25" hidden="1" outlineLevel="1" thickBot="1" x14ac:dyDescent="0.35">
      <c r="A273" s="46"/>
      <c r="B273" s="46"/>
      <c r="C273" s="101"/>
      <c r="D273" s="101"/>
      <c r="E273" s="101"/>
      <c r="F273" s="102">
        <f>SUM(F268:F272)</f>
        <v>133176900</v>
      </c>
      <c r="G273" s="103"/>
      <c r="H273" s="103"/>
      <c r="I273" s="103"/>
      <c r="J273" s="103"/>
      <c r="K273" s="103">
        <f>SUM(K268:K272)</f>
        <v>192737900</v>
      </c>
      <c r="L273" s="103"/>
      <c r="M273" s="103"/>
      <c r="N273" s="103"/>
      <c r="O273" s="103"/>
      <c r="P273" s="103">
        <f>SUM(P268:P272)</f>
        <v>248296790</v>
      </c>
      <c r="Q273" s="103"/>
      <c r="R273" s="103"/>
      <c r="S273" s="103"/>
      <c r="T273" s="103"/>
      <c r="U273" s="103">
        <f>SUM(U268:U272)</f>
        <v>310016686</v>
      </c>
      <c r="V273" s="103"/>
      <c r="W273" s="103"/>
      <c r="X273" s="103"/>
      <c r="Y273" s="103"/>
      <c r="Z273" s="103">
        <f>SUM(Z268:Z272)</f>
        <v>370188109.00000012</v>
      </c>
    </row>
    <row r="274" spans="1:27" s="4" customFormat="1" ht="18" hidden="1" outlineLevel="1" thickBot="1" x14ac:dyDescent="0.4">
      <c r="A274" s="98" t="s">
        <v>155</v>
      </c>
      <c r="B274" s="98"/>
      <c r="C274" s="99"/>
      <c r="D274" s="99"/>
      <c r="E274" s="99"/>
      <c r="F274" s="100">
        <f>IFERROR(F265-F273,"")</f>
        <v>-18912150</v>
      </c>
      <c r="G274" s="100"/>
      <c r="H274" s="100"/>
      <c r="I274" s="100"/>
      <c r="J274" s="100"/>
      <c r="K274" s="100">
        <f t="shared" ref="K274:Z274" si="228">IFERROR(K265-K273,"")</f>
        <v>164418493.75</v>
      </c>
      <c r="L274" s="100"/>
      <c r="M274" s="100"/>
      <c r="N274" s="100"/>
      <c r="O274" s="100"/>
      <c r="P274" s="100">
        <f t="shared" si="228"/>
        <v>372696040.46875</v>
      </c>
      <c r="Q274" s="100"/>
      <c r="R274" s="100"/>
      <c r="S274" s="100"/>
      <c r="T274" s="100"/>
      <c r="U274" s="100">
        <f t="shared" si="228"/>
        <v>598100198.85546875</v>
      </c>
      <c r="V274" s="100"/>
      <c r="W274" s="100"/>
      <c r="X274" s="100"/>
      <c r="Y274" s="100"/>
      <c r="Z274" s="100">
        <f t="shared" si="228"/>
        <v>850916881.85380852</v>
      </c>
    </row>
    <row r="275" spans="1:27" hidden="1" outlineLevel="1" x14ac:dyDescent="0.3">
      <c r="C275" s="68"/>
      <c r="D275" s="68"/>
      <c r="E275" s="68"/>
      <c r="F275" s="82"/>
      <c r="G275" s="83"/>
      <c r="H275" s="83"/>
      <c r="I275" s="83"/>
      <c r="J275" s="83"/>
      <c r="K275" s="83"/>
      <c r="L275" s="83"/>
      <c r="M275" s="83"/>
      <c r="N275" s="83"/>
      <c r="O275" s="83"/>
      <c r="P275" s="83"/>
      <c r="Q275" s="83"/>
      <c r="R275" s="83"/>
      <c r="S275" s="83"/>
      <c r="T275" s="83"/>
      <c r="U275" s="83"/>
      <c r="V275" s="83"/>
      <c r="W275" s="83"/>
      <c r="X275" s="83"/>
      <c r="Y275" s="83"/>
      <c r="Z275" s="83"/>
    </row>
    <row r="276" spans="1:27" ht="17.25" hidden="1" outlineLevel="1" thickBot="1" x14ac:dyDescent="0.35">
      <c r="A276" s="3" t="s">
        <v>73</v>
      </c>
      <c r="C276" s="68"/>
      <c r="D276" s="68"/>
      <c r="E276" s="68"/>
      <c r="F276" s="82">
        <f>IF(OR($B$4="",$B$4=0),"",IFERROR(F251,""))</f>
        <v>53040000.000000007</v>
      </c>
      <c r="G276" s="83"/>
      <c r="H276" s="83"/>
      <c r="I276" s="83"/>
      <c r="J276" s="83"/>
      <c r="K276" s="83">
        <f t="shared" ref="K276:Z276" si="229">IF(OR($B$4="",$B$4=0),"",IFERROR(K251,""))</f>
        <v>50671414.112210929</v>
      </c>
      <c r="L276" s="83"/>
      <c r="M276" s="83"/>
      <c r="N276" s="83"/>
      <c r="O276" s="83"/>
      <c r="P276" s="83">
        <f t="shared" si="229"/>
        <v>47900168.62349771</v>
      </c>
      <c r="Q276" s="83"/>
      <c r="R276" s="83"/>
      <c r="S276" s="83"/>
      <c r="T276" s="83"/>
      <c r="U276" s="83">
        <f t="shared" si="229"/>
        <v>44657811.401703253</v>
      </c>
      <c r="V276" s="83"/>
      <c r="W276" s="83"/>
      <c r="X276" s="83"/>
      <c r="Y276" s="83"/>
      <c r="Z276" s="83">
        <f t="shared" si="229"/>
        <v>40864253.452203736</v>
      </c>
    </row>
    <row r="277" spans="1:27" s="4" customFormat="1" ht="18" hidden="1" outlineLevel="1" thickBot="1" x14ac:dyDescent="0.4">
      <c r="A277" s="98" t="s">
        <v>74</v>
      </c>
      <c r="B277" s="98"/>
      <c r="C277" s="99"/>
      <c r="D277" s="99"/>
      <c r="E277" s="99"/>
      <c r="F277" s="100">
        <f>IFERROR(F274-F276,0)</f>
        <v>-71952150</v>
      </c>
      <c r="G277" s="100"/>
      <c r="H277" s="100"/>
      <c r="I277" s="100"/>
      <c r="J277" s="100"/>
      <c r="K277" s="100">
        <f>IFERROR(K274-K276,0)</f>
        <v>113747079.63778907</v>
      </c>
      <c r="L277" s="100"/>
      <c r="M277" s="100"/>
      <c r="N277" s="100"/>
      <c r="O277" s="100"/>
      <c r="P277" s="100">
        <f>IFERROR(P274-P276,0)</f>
        <v>324795871.84525228</v>
      </c>
      <c r="Q277" s="100"/>
      <c r="R277" s="100"/>
      <c r="S277" s="100"/>
      <c r="T277" s="100"/>
      <c r="U277" s="100">
        <f>IFERROR(U274-U276,0)</f>
        <v>553442387.45376551</v>
      </c>
      <c r="V277" s="100"/>
      <c r="W277" s="100"/>
      <c r="X277" s="100"/>
      <c r="Y277" s="100"/>
      <c r="Z277" s="100">
        <f>IFERROR(Z274-Z276,0)</f>
        <v>810052628.40160477</v>
      </c>
      <c r="AA277" s="3"/>
    </row>
    <row r="278" spans="1:27" s="4" customFormat="1" ht="17.25" hidden="1" outlineLevel="1" x14ac:dyDescent="0.35">
      <c r="C278" s="97"/>
      <c r="D278" s="97"/>
      <c r="E278" s="97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3"/>
    </row>
    <row r="279" spans="1:27" s="4" customFormat="1" ht="17.25" hidden="1" outlineLevel="1" x14ac:dyDescent="0.35">
      <c r="A279" s="4" t="s">
        <v>139</v>
      </c>
      <c r="C279" s="97"/>
      <c r="D279" s="97"/>
      <c r="E279" s="97"/>
      <c r="F279" s="76">
        <f>IFERROR(_xlfn.IFNA(IF(F277&lt;=0,0,F277*$B$256),0),0)</f>
        <v>0</v>
      </c>
      <c r="G279" s="76"/>
      <c r="H279" s="76"/>
      <c r="I279" s="76"/>
      <c r="J279" s="76"/>
      <c r="K279" s="76">
        <f>IFERROR(_xlfn.IFNA(IF(K277&lt;=0,0,K277*$B$256),0),0)</f>
        <v>34124123.891336717</v>
      </c>
      <c r="L279" s="76"/>
      <c r="M279" s="76"/>
      <c r="N279" s="76"/>
      <c r="O279" s="76"/>
      <c r="P279" s="76">
        <f>IFERROR(_xlfn.IFNA(IF(P277&lt;=0,0,P277*$B$256),0),0)</f>
        <v>97438761.55357568</v>
      </c>
      <c r="Q279" s="76"/>
      <c r="R279" s="76"/>
      <c r="S279" s="76"/>
      <c r="T279" s="76"/>
      <c r="U279" s="76">
        <f>IFERROR(_xlfn.IFNA(IF(U277&lt;=0,0,U277*$B$256),0),0)</f>
        <v>166032716.23612964</v>
      </c>
      <c r="V279" s="76"/>
      <c r="W279" s="76"/>
      <c r="X279" s="76"/>
      <c r="Y279" s="76"/>
      <c r="Z279" s="76">
        <f>IFERROR(_xlfn.IFNA(IF(Z277&lt;=0,0,Z277*$B$256),0),0)</f>
        <v>243015788.52048141</v>
      </c>
      <c r="AA279" s="3"/>
    </row>
    <row r="280" spans="1:27" s="4" customFormat="1" ht="18" hidden="1" outlineLevel="1" thickBot="1" x14ac:dyDescent="0.4">
      <c r="A280" s="32" t="s">
        <v>154</v>
      </c>
      <c r="B280" s="32"/>
      <c r="C280" s="84"/>
      <c r="D280" s="84"/>
      <c r="E280" s="84"/>
      <c r="F280" s="85">
        <f>IFERROR(_xlfn.IFNA(F277-F279,0),0)</f>
        <v>-71952150</v>
      </c>
      <c r="G280" s="85"/>
      <c r="H280" s="85"/>
      <c r="I280" s="85"/>
      <c r="J280" s="85"/>
      <c r="K280" s="85">
        <f t="shared" ref="K280:Z280" si="230">IFERROR(_xlfn.IFNA(K277-K279,0),0)</f>
        <v>79622955.746452361</v>
      </c>
      <c r="L280" s="85"/>
      <c r="M280" s="85"/>
      <c r="N280" s="85"/>
      <c r="O280" s="85"/>
      <c r="P280" s="85">
        <f t="shared" si="230"/>
        <v>227357110.29167658</v>
      </c>
      <c r="Q280" s="85"/>
      <c r="R280" s="85"/>
      <c r="S280" s="85"/>
      <c r="T280" s="85"/>
      <c r="U280" s="85">
        <f t="shared" si="230"/>
        <v>387409671.21763587</v>
      </c>
      <c r="V280" s="85"/>
      <c r="W280" s="85"/>
      <c r="X280" s="85"/>
      <c r="Y280" s="85"/>
      <c r="Z280" s="85">
        <f t="shared" si="230"/>
        <v>567036839.8811233</v>
      </c>
      <c r="AA280" s="3"/>
    </row>
    <row r="281" spans="1:27" hidden="1" outlineLevel="1" x14ac:dyDescent="0.3">
      <c r="C281" s="68"/>
      <c r="D281" s="68"/>
      <c r="E281" s="68"/>
      <c r="F281" s="82"/>
      <c r="G281" s="82"/>
      <c r="H281" s="82"/>
      <c r="I281" s="82"/>
      <c r="J281" s="82"/>
      <c r="K281" s="82"/>
      <c r="L281" s="82"/>
      <c r="M281" s="82"/>
      <c r="N281" s="82"/>
      <c r="O281" s="82"/>
      <c r="P281" s="82"/>
      <c r="Q281" s="82"/>
      <c r="R281" s="82"/>
      <c r="S281" s="82"/>
      <c r="T281" s="82"/>
      <c r="U281" s="82"/>
      <c r="V281" s="82"/>
      <c r="W281" s="82"/>
      <c r="X281" s="82"/>
      <c r="Y281" s="82"/>
      <c r="Z281" s="82"/>
    </row>
    <row r="282" spans="1:27" s="4" customFormat="1" ht="18" hidden="1" outlineLevel="1" thickBot="1" x14ac:dyDescent="0.4">
      <c r="A282" s="16" t="s">
        <v>75</v>
      </c>
      <c r="B282" s="16"/>
      <c r="C282" s="86"/>
      <c r="D282" s="86"/>
      <c r="E282" s="86"/>
      <c r="F282" s="33">
        <f>IFERROR(_xlfn.IFNA(F280,0),0)</f>
        <v>-71952150</v>
      </c>
      <c r="G282" s="33"/>
      <c r="H282" s="33"/>
      <c r="I282" s="33"/>
      <c r="J282" s="33"/>
      <c r="K282" s="33">
        <f t="shared" ref="K282:Z282" si="231">IFERROR(_xlfn.IFNA(K280,0),0)</f>
        <v>79622955.746452361</v>
      </c>
      <c r="L282" s="33"/>
      <c r="M282" s="33"/>
      <c r="N282" s="33"/>
      <c r="O282" s="33"/>
      <c r="P282" s="33">
        <f t="shared" si="231"/>
        <v>227357110.29167658</v>
      </c>
      <c r="Q282" s="33"/>
      <c r="R282" s="33"/>
      <c r="S282" s="33"/>
      <c r="T282" s="33"/>
      <c r="U282" s="33">
        <f t="shared" si="231"/>
        <v>387409671.21763587</v>
      </c>
      <c r="V282" s="33"/>
      <c r="W282" s="33"/>
      <c r="X282" s="33"/>
      <c r="Y282" s="33"/>
      <c r="Z282" s="33">
        <f t="shared" si="231"/>
        <v>567036839.8811233</v>
      </c>
      <c r="AA282" s="3"/>
    </row>
    <row r="283" spans="1:27" ht="17.25" hidden="1" outlineLevel="1" thickTop="1" x14ac:dyDescent="0.3">
      <c r="C283" s="68"/>
      <c r="D283" s="68"/>
      <c r="E283" s="68"/>
      <c r="F283" s="68"/>
      <c r="G283" s="68"/>
      <c r="H283" s="68"/>
      <c r="I283" s="68"/>
      <c r="J283" s="68"/>
      <c r="K283" s="37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</row>
    <row r="284" spans="1:27" x14ac:dyDescent="0.3">
      <c r="C284" s="68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</row>
    <row r="285" spans="1:27" ht="17.25" collapsed="1" x14ac:dyDescent="0.35">
      <c r="A285" s="1" t="s">
        <v>103</v>
      </c>
      <c r="B285" s="1"/>
      <c r="C285" s="74"/>
      <c r="D285" s="74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</row>
    <row r="286" spans="1:27" hidden="1" outlineLevel="1" x14ac:dyDescent="0.3"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</row>
    <row r="287" spans="1:27" ht="17.25" hidden="1" outlineLevel="1" x14ac:dyDescent="0.35">
      <c r="A287" s="40" t="s">
        <v>104</v>
      </c>
      <c r="B287" s="43"/>
      <c r="C287" s="87"/>
      <c r="D287" s="87"/>
      <c r="E287" s="87"/>
      <c r="F287" s="87"/>
      <c r="G287" s="87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7" hidden="1" outlineLevel="1" x14ac:dyDescent="0.3">
      <c r="A288" s="155" t="s">
        <v>220</v>
      </c>
      <c r="B288" s="43"/>
      <c r="C288" s="87"/>
      <c r="D288" s="87"/>
      <c r="E288" s="87"/>
      <c r="F288" s="87">
        <f>IFERROR(IF((F359+F366-F373-F380)&lt;=0,0,F359+F366-F373-F380),0)</f>
        <v>525000</v>
      </c>
      <c r="G288" s="87"/>
      <c r="H288" s="71"/>
      <c r="I288" s="71"/>
      <c r="J288" s="71"/>
      <c r="K288" s="60">
        <f>IFERROR(IF((F288+K366)-K380&lt;0,0,(F288+K366)-K380),0)</f>
        <v>350000</v>
      </c>
      <c r="L288" s="60"/>
      <c r="M288" s="60"/>
      <c r="N288" s="60"/>
      <c r="O288" s="60"/>
      <c r="P288" s="60">
        <f>IFERROR(IF((K288+P366)-P380&lt;=0,0,(K288+P366)-P380),0)</f>
        <v>175000</v>
      </c>
      <c r="Q288" s="60"/>
      <c r="R288" s="60"/>
      <c r="S288" s="60"/>
      <c r="T288" s="60"/>
      <c r="U288" s="60">
        <f>IFERROR(IF((P288+U366)-U380&lt;=0,0,(P288+U366)-U380),0)</f>
        <v>0</v>
      </c>
      <c r="V288" s="60"/>
      <c r="W288" s="60"/>
      <c r="X288" s="60"/>
      <c r="Y288" s="60"/>
      <c r="Z288" s="60">
        <f>IFERROR(IF((U288+Z366)-Z380&lt;=0,0,(U288+Z366)-Z380),0)</f>
        <v>0</v>
      </c>
    </row>
    <row r="289" spans="1:27" s="18" customFormat="1" ht="18" hidden="1" outlineLevel="1" x14ac:dyDescent="0.35">
      <c r="A289" s="48" t="s">
        <v>105</v>
      </c>
      <c r="B289" s="43"/>
      <c r="C289" s="87"/>
      <c r="D289" s="87"/>
      <c r="E289" s="87"/>
      <c r="F289" s="87">
        <f>IFERROR(IF((F364+F371-F378-F385)&lt;=0,0,F364+F371-F378-F385),0)</f>
        <v>4500000</v>
      </c>
      <c r="G289" s="87"/>
      <c r="H289" s="87"/>
      <c r="I289" s="87"/>
      <c r="J289" s="87"/>
      <c r="K289" s="60">
        <f>IFERROR(IF((F289+K371)-K385&lt;=0,0,(F289+K371)-K385),0)</f>
        <v>4000000</v>
      </c>
      <c r="L289" s="60"/>
      <c r="M289" s="60"/>
      <c r="N289" s="60"/>
      <c r="O289" s="60"/>
      <c r="P289" s="60">
        <f>IFERROR(IF((K289+P371)-P385&lt;=0,0,(K289+P371)-P385),0)</f>
        <v>3500000</v>
      </c>
      <c r="Q289" s="60"/>
      <c r="R289" s="60"/>
      <c r="S289" s="60"/>
      <c r="T289" s="60"/>
      <c r="U289" s="60">
        <f>IFERROR(IF((P289+U371)-U385&lt;=0,0,(P289+U371)-U385),0)</f>
        <v>3000000</v>
      </c>
      <c r="V289" s="60"/>
      <c r="W289" s="60"/>
      <c r="X289" s="60"/>
      <c r="Y289" s="60"/>
      <c r="Z289" s="60">
        <f>IFERROR(IF((U289+Z371)-Z385&lt;=0,0,(U289+Z371)-Z385),0)</f>
        <v>2500000</v>
      </c>
    </row>
    <row r="290" spans="1:27" s="18" customFormat="1" ht="18" hidden="1" outlineLevel="1" x14ac:dyDescent="0.35">
      <c r="A290" s="48" t="s">
        <v>106</v>
      </c>
      <c r="B290" s="43"/>
      <c r="C290" s="87"/>
      <c r="D290" s="87"/>
      <c r="E290" s="87"/>
      <c r="F290" s="87">
        <f>IFERROR(IF((F360+F367-F374-F381)&lt;=0,0,F360+F367-F374-F381),0)</f>
        <v>5250000</v>
      </c>
      <c r="G290" s="87"/>
      <c r="H290" s="87"/>
      <c r="I290" s="87"/>
      <c r="J290" s="87"/>
      <c r="K290" s="60">
        <f>IFERROR(IF((F290+K374)-K381&lt;=0,0,(F290+K374)-K381),0)</f>
        <v>3500000</v>
      </c>
      <c r="L290" s="60"/>
      <c r="M290" s="60"/>
      <c r="N290" s="60"/>
      <c r="O290" s="60"/>
      <c r="P290" s="60">
        <f>IFERROR(IF((K290+P374)-P381&lt;=0,0,(K290+P374)-P381),0)</f>
        <v>1750000</v>
      </c>
      <c r="Q290" s="60"/>
      <c r="R290" s="60"/>
      <c r="S290" s="60"/>
      <c r="T290" s="60"/>
      <c r="U290" s="60">
        <f>IFERROR(IF((P290+U374)-U381&lt;=0,0,(P290+U374)-U381),0)</f>
        <v>0</v>
      </c>
      <c r="V290" s="60"/>
      <c r="W290" s="60"/>
      <c r="X290" s="60"/>
      <c r="Y290" s="60"/>
      <c r="Z290" s="60">
        <f>IFERROR(IF((U290+Z374)-Z381&lt;=0,0,(U290+Z374)-Z381),0)</f>
        <v>0</v>
      </c>
    </row>
    <row r="291" spans="1:27" s="18" customFormat="1" ht="18" hidden="1" outlineLevel="1" x14ac:dyDescent="0.35">
      <c r="A291" s="159" t="s">
        <v>222</v>
      </c>
      <c r="B291" s="43"/>
      <c r="C291" s="87"/>
      <c r="D291" s="87"/>
      <c r="E291" s="87"/>
      <c r="F291" s="87">
        <f>IFERROR(IF((F361+F368-F375-F382)&lt;0,0,F361+F368-F375-F382),0)</f>
        <v>24000000</v>
      </c>
      <c r="G291" s="87"/>
      <c r="H291" s="87"/>
      <c r="I291" s="87"/>
      <c r="J291" s="87"/>
      <c r="K291" s="60">
        <f>IFERROR(IF((F291+K368)-K382&lt;=0,0,(F291+K368)-K382),0)</f>
        <v>16000000</v>
      </c>
      <c r="L291" s="60"/>
      <c r="M291" s="60"/>
      <c r="N291" s="60"/>
      <c r="O291" s="60"/>
      <c r="P291" s="60">
        <f>IFERROR(IF((K291+P368)-P382&lt;=0,0,(K291+P368)-P382),0)</f>
        <v>8000000</v>
      </c>
      <c r="Q291" s="60"/>
      <c r="R291" s="60"/>
      <c r="S291" s="60"/>
      <c r="T291" s="60"/>
      <c r="U291" s="60">
        <f>IFERROR(IF((P291+U368)-U382&lt;=0,0,(P291+U368)-U382),0)</f>
        <v>18000000</v>
      </c>
      <c r="V291" s="60"/>
      <c r="W291" s="60"/>
      <c r="X291" s="60"/>
      <c r="Y291" s="60"/>
      <c r="Z291" s="60">
        <f>IFERROR(IF((U291+Z368)-Z382&lt;=0,0,(U291+Z368)-Z382),0)</f>
        <v>18000000</v>
      </c>
    </row>
    <row r="292" spans="1:27" s="18" customFormat="1" ht="18" hidden="1" outlineLevel="1" x14ac:dyDescent="0.35">
      <c r="A292" s="48" t="s">
        <v>107</v>
      </c>
      <c r="B292" s="43"/>
      <c r="C292" s="87"/>
      <c r="D292" s="87"/>
      <c r="E292" s="87"/>
      <c r="F292" s="87">
        <f>IFERROR(IF((F362+F369-F376-F383)&lt;=0,0,F362+F369-F376-F383),0)</f>
        <v>252000000</v>
      </c>
      <c r="G292" s="87"/>
      <c r="H292" s="87"/>
      <c r="I292" s="87"/>
      <c r="J292" s="87"/>
      <c r="K292" s="60">
        <f>IFERROR(IF((F292+K369)-K383&lt;=0,0,(F292+K369)-K383),0)</f>
        <v>224000000</v>
      </c>
      <c r="L292" s="60"/>
      <c r="M292" s="60"/>
      <c r="N292" s="60"/>
      <c r="O292" s="60"/>
      <c r="P292" s="60">
        <f>IFERROR(IF((K292+P369)-P383&lt;=0,0,(K292+P369)-P383),0)</f>
        <v>196000000</v>
      </c>
      <c r="Q292" s="60"/>
      <c r="R292" s="60"/>
      <c r="S292" s="60"/>
      <c r="T292" s="60"/>
      <c r="U292" s="60">
        <f>IFERROR(IF((P292+U369)-U383&lt;=0,0,(P292+U369)-U383),0)</f>
        <v>168000000</v>
      </c>
      <c r="V292" s="60"/>
      <c r="W292" s="60"/>
      <c r="X292" s="60"/>
      <c r="Y292" s="60"/>
      <c r="Z292" s="60">
        <f>IFERROR(IF((U292+Z369)-Z383&lt;=0,0,(U292+Z369)-Z383),0)</f>
        <v>140000000</v>
      </c>
    </row>
    <row r="293" spans="1:27" s="18" customFormat="1" ht="18" hidden="1" outlineLevel="1" x14ac:dyDescent="0.35">
      <c r="A293" s="48" t="s">
        <v>108</v>
      </c>
      <c r="B293" s="43"/>
      <c r="C293" s="87"/>
      <c r="D293" s="87"/>
      <c r="E293" s="87"/>
      <c r="F293" s="87">
        <f>IFERROR(IF((F363+F370-F377-F384)&lt;=0,0,F363+F370-F377-F384),0)</f>
        <v>2700000</v>
      </c>
      <c r="G293" s="87"/>
      <c r="H293" s="87"/>
      <c r="I293" s="87"/>
      <c r="J293" s="87"/>
      <c r="K293" s="60">
        <f>IFERROR(IF((F293+K370)-K384&lt;=0,0,(F293+K370)-K384),0)</f>
        <v>2400000</v>
      </c>
      <c r="L293" s="60"/>
      <c r="M293" s="60"/>
      <c r="N293" s="60"/>
      <c r="O293" s="60"/>
      <c r="P293" s="60">
        <f>IFERROR(IF((K293+P370)-P384&lt;=0,0,(K293+P370)-P384),0)</f>
        <v>2100000</v>
      </c>
      <c r="Q293" s="60"/>
      <c r="R293" s="60"/>
      <c r="S293" s="60"/>
      <c r="T293" s="60"/>
      <c r="U293" s="60">
        <f>IFERROR(IF((P293+U370)-U384&lt;=0,0,(P293+U370)-U384),0)</f>
        <v>1800000</v>
      </c>
      <c r="V293" s="60"/>
      <c r="W293" s="60"/>
      <c r="X293" s="60"/>
      <c r="Y293" s="60"/>
      <c r="Z293" s="60">
        <f>IFERROR(IF((U293+Z370)-Z384&lt;=0,0,(U293+Z370)-Z384),0)</f>
        <v>1500000</v>
      </c>
    </row>
    <row r="294" spans="1:27" s="22" customFormat="1" ht="18" hidden="1" outlineLevel="1" thickBot="1" x14ac:dyDescent="0.4">
      <c r="A294" s="42" t="s">
        <v>109</v>
      </c>
      <c r="B294" s="44"/>
      <c r="C294" s="88"/>
      <c r="D294" s="88"/>
      <c r="E294" s="88"/>
      <c r="F294" s="88">
        <f>SUM(F288:F293)</f>
        <v>288975000</v>
      </c>
      <c r="G294" s="88"/>
      <c r="H294" s="88"/>
      <c r="I294" s="88"/>
      <c r="J294" s="88"/>
      <c r="K294" s="88">
        <f>SUM(K288:K293)</f>
        <v>250250000</v>
      </c>
      <c r="L294" s="88"/>
      <c r="M294" s="88"/>
      <c r="N294" s="88"/>
      <c r="O294" s="88"/>
      <c r="P294" s="88">
        <f>SUM(P288:P293)</f>
        <v>211525000</v>
      </c>
      <c r="Q294" s="88"/>
      <c r="R294" s="88"/>
      <c r="S294" s="88"/>
      <c r="T294" s="88"/>
      <c r="U294" s="88">
        <f>SUM(U288:U293)</f>
        <v>190800000</v>
      </c>
      <c r="V294" s="88"/>
      <c r="W294" s="88"/>
      <c r="X294" s="88"/>
      <c r="Y294" s="88"/>
      <c r="Z294" s="88">
        <f>SUM(Z288:Z293)</f>
        <v>162000000</v>
      </c>
    </row>
    <row r="295" spans="1:27" hidden="1" outlineLevel="1" x14ac:dyDescent="0.3">
      <c r="A295" s="39"/>
      <c r="B295" s="43"/>
      <c r="C295" s="87"/>
      <c r="D295" s="87"/>
      <c r="E295" s="87"/>
      <c r="F295" s="87"/>
      <c r="G295" s="87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7" ht="18" hidden="1" outlineLevel="1" x14ac:dyDescent="0.35">
      <c r="A296" s="49" t="s">
        <v>110</v>
      </c>
      <c r="B296" s="43"/>
      <c r="C296" s="87"/>
      <c r="D296" s="87"/>
      <c r="E296" s="87"/>
      <c r="F296" s="87"/>
      <c r="G296" s="87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7" hidden="1" outlineLevel="1" x14ac:dyDescent="0.3">
      <c r="A297" s="39" t="s">
        <v>147</v>
      </c>
      <c r="B297" s="43"/>
      <c r="C297" s="87"/>
      <c r="D297" s="87"/>
      <c r="E297" s="87"/>
      <c r="F297" s="87">
        <f>IFERROR(IF(F346&gt;=0,F346,""),"")</f>
        <v>1014401.8365348577</v>
      </c>
      <c r="G297" s="87"/>
      <c r="H297" s="87"/>
      <c r="I297" s="87"/>
      <c r="J297" s="87"/>
      <c r="K297" s="60">
        <f>IFERROR(IF(K346&gt;=0,K346,""),"")</f>
        <v>71760864.156733006</v>
      </c>
      <c r="L297" s="60"/>
      <c r="M297" s="60"/>
      <c r="N297" s="60"/>
      <c r="O297" s="60"/>
      <c r="P297" s="60">
        <f>IFERROR(IF(P346&gt;=0,P346,""),"")</f>
        <v>292350641.23656714</v>
      </c>
      <c r="Q297" s="60"/>
      <c r="R297" s="60"/>
      <c r="S297" s="60"/>
      <c r="T297" s="60"/>
      <c r="U297" s="60">
        <f>IFERROR(IF(U346&gt;=0,U346,""),"")</f>
        <v>650161439.45376921</v>
      </c>
      <c r="V297" s="60"/>
      <c r="W297" s="60"/>
      <c r="X297" s="60"/>
      <c r="Y297" s="60"/>
      <c r="Z297" s="60">
        <f>IFERROR(IF(Z346&gt;=0,Z346,""),"")</f>
        <v>1188976452.8237972</v>
      </c>
      <c r="AA297" s="68"/>
    </row>
    <row r="298" spans="1:27" hidden="1" outlineLevel="1" x14ac:dyDescent="0.3">
      <c r="A298" s="39" t="s">
        <v>213</v>
      </c>
      <c r="B298" s="43"/>
      <c r="C298" s="87"/>
      <c r="D298" s="87"/>
      <c r="E298" s="87"/>
      <c r="F298" s="87">
        <f>F390</f>
        <v>4570590</v>
      </c>
      <c r="G298" s="87"/>
      <c r="H298" s="71"/>
      <c r="I298" s="71"/>
      <c r="J298" s="71"/>
      <c r="K298" s="60">
        <f>K390</f>
        <v>35715639.375</v>
      </c>
      <c r="L298" s="60"/>
      <c r="M298" s="60"/>
      <c r="N298" s="60"/>
      <c r="O298" s="60"/>
      <c r="P298" s="60">
        <f>P390</f>
        <v>62099283.046875</v>
      </c>
      <c r="Q298" s="60"/>
      <c r="R298" s="60"/>
      <c r="S298" s="60"/>
      <c r="T298" s="60"/>
      <c r="U298" s="60">
        <f>U390</f>
        <v>90811688.485546887</v>
      </c>
      <c r="V298" s="60"/>
      <c r="W298" s="60"/>
      <c r="X298" s="60"/>
      <c r="Y298" s="60"/>
      <c r="Z298" s="60">
        <f>Z390</f>
        <v>122110499.08538087</v>
      </c>
      <c r="AA298" s="68"/>
    </row>
    <row r="299" spans="1:27" s="4" customFormat="1" ht="18" hidden="1" outlineLevel="1" thickBot="1" x14ac:dyDescent="0.4">
      <c r="A299" s="42" t="s">
        <v>150</v>
      </c>
      <c r="B299" s="44"/>
      <c r="C299" s="88"/>
      <c r="D299" s="88"/>
      <c r="E299" s="88"/>
      <c r="F299" s="88">
        <f>SUM(F297:F298)</f>
        <v>5584991.8365348577</v>
      </c>
      <c r="G299" s="88"/>
      <c r="H299" s="88"/>
      <c r="I299" s="88"/>
      <c r="J299" s="88"/>
      <c r="K299" s="88">
        <f t="shared" ref="K299:Z299" si="232">SUM(K297:K298)</f>
        <v>107476503.53173301</v>
      </c>
      <c r="L299" s="88"/>
      <c r="M299" s="88"/>
      <c r="N299" s="88"/>
      <c r="O299" s="88"/>
      <c r="P299" s="88">
        <f t="shared" si="232"/>
        <v>354449924.28344214</v>
      </c>
      <c r="Q299" s="88"/>
      <c r="R299" s="88"/>
      <c r="S299" s="88"/>
      <c r="T299" s="88"/>
      <c r="U299" s="88">
        <f t="shared" si="232"/>
        <v>740973127.93931603</v>
      </c>
      <c r="V299" s="88"/>
      <c r="W299" s="88"/>
      <c r="X299" s="88"/>
      <c r="Y299" s="88"/>
      <c r="Z299" s="88">
        <f t="shared" si="232"/>
        <v>1311086951.909178</v>
      </c>
    </row>
    <row r="300" spans="1:27" s="4" customFormat="1" ht="18" hidden="1" outlineLevel="1" thickBot="1" x14ac:dyDescent="0.4">
      <c r="A300" s="54" t="s">
        <v>151</v>
      </c>
      <c r="B300" s="55"/>
      <c r="C300" s="89"/>
      <c r="D300" s="89"/>
      <c r="E300" s="89"/>
      <c r="F300" s="89">
        <f>F299+F294</f>
        <v>294559991.83653486</v>
      </c>
      <c r="G300" s="89"/>
      <c r="H300" s="89"/>
      <c r="I300" s="89"/>
      <c r="J300" s="89"/>
      <c r="K300" s="89">
        <f t="shared" ref="K300:Z300" si="233">K299+K294</f>
        <v>357726503.53173304</v>
      </c>
      <c r="L300" s="89"/>
      <c r="M300" s="89"/>
      <c r="N300" s="89"/>
      <c r="O300" s="89"/>
      <c r="P300" s="89">
        <f t="shared" si="233"/>
        <v>565974924.28344214</v>
      </c>
      <c r="Q300" s="89"/>
      <c r="R300" s="89"/>
      <c r="S300" s="89"/>
      <c r="T300" s="89"/>
      <c r="U300" s="89">
        <f t="shared" si="233"/>
        <v>931773127.93931603</v>
      </c>
      <c r="V300" s="89"/>
      <c r="W300" s="89"/>
      <c r="X300" s="89"/>
      <c r="Y300" s="89"/>
      <c r="Z300" s="55">
        <f t="shared" si="233"/>
        <v>1473086951.909178</v>
      </c>
    </row>
    <row r="301" spans="1:27" ht="17.25" hidden="1" outlineLevel="1" thickTop="1" x14ac:dyDescent="0.3">
      <c r="A301" s="39"/>
      <c r="B301" s="51"/>
      <c r="C301" s="90"/>
      <c r="D301" s="90"/>
      <c r="E301" s="90"/>
      <c r="F301" s="90"/>
      <c r="G301" s="90"/>
      <c r="H301" s="90"/>
      <c r="I301" s="90"/>
      <c r="J301" s="90"/>
      <c r="K301" s="90"/>
      <c r="L301" s="90"/>
      <c r="M301" s="90"/>
      <c r="N301" s="90"/>
      <c r="O301" s="90"/>
      <c r="P301" s="90"/>
      <c r="Q301" s="90"/>
      <c r="R301" s="90"/>
      <c r="S301" s="90"/>
      <c r="T301" s="90"/>
      <c r="U301" s="90"/>
      <c r="V301" s="90"/>
      <c r="W301" s="90"/>
      <c r="X301" s="90"/>
      <c r="Y301" s="90"/>
      <c r="Z301" s="90"/>
    </row>
    <row r="302" spans="1:27" s="18" customFormat="1" ht="17.25" hidden="1" outlineLevel="1" x14ac:dyDescent="0.35">
      <c r="A302" s="40" t="s">
        <v>111</v>
      </c>
      <c r="B302" s="43"/>
      <c r="C302" s="87"/>
      <c r="D302" s="87"/>
      <c r="E302" s="87"/>
      <c r="F302" s="87"/>
      <c r="G302" s="87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</row>
    <row r="303" spans="1:27" s="18" customFormat="1" hidden="1" outlineLevel="1" x14ac:dyDescent="0.3">
      <c r="A303" s="39" t="s">
        <v>212</v>
      </c>
      <c r="B303" s="43"/>
      <c r="C303" s="87"/>
      <c r="D303" s="87"/>
      <c r="E303" s="87"/>
      <c r="F303" s="87">
        <v>100000</v>
      </c>
      <c r="G303" s="87"/>
      <c r="H303" s="87"/>
      <c r="I303" s="87"/>
      <c r="J303" s="87"/>
      <c r="K303" s="60">
        <f>F306</f>
        <v>-6852150</v>
      </c>
      <c r="L303" s="60"/>
      <c r="M303" s="60"/>
      <c r="N303" s="60"/>
      <c r="O303" s="60"/>
      <c r="P303" s="60">
        <f>K306</f>
        <v>72770805.746452361</v>
      </c>
      <c r="Q303" s="60"/>
      <c r="R303" s="60"/>
      <c r="S303" s="60"/>
      <c r="T303" s="60"/>
      <c r="U303" s="60">
        <f t="shared" ref="U303:Z303" si="234">P306</f>
        <v>300127916.03812897</v>
      </c>
      <c r="V303" s="60"/>
      <c r="W303" s="60"/>
      <c r="X303" s="60"/>
      <c r="Y303" s="60"/>
      <c r="Z303" s="60">
        <f t="shared" si="234"/>
        <v>687537587.25576484</v>
      </c>
    </row>
    <row r="304" spans="1:27" s="18" customFormat="1" hidden="1" outlineLevel="1" x14ac:dyDescent="0.3">
      <c r="A304" s="39" t="s">
        <v>210</v>
      </c>
      <c r="B304" s="43"/>
      <c r="C304" s="87"/>
      <c r="D304" s="87"/>
      <c r="E304" s="87"/>
      <c r="F304" s="87">
        <f>F337</f>
        <v>65000000</v>
      </c>
      <c r="G304" s="87"/>
      <c r="H304" s="87"/>
      <c r="I304" s="87"/>
      <c r="J304" s="87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</row>
    <row r="305" spans="1:27" s="18" customFormat="1" hidden="1" outlineLevel="1" x14ac:dyDescent="0.3">
      <c r="A305" s="39" t="s">
        <v>114</v>
      </c>
      <c r="B305" s="43"/>
      <c r="C305" s="87"/>
      <c r="D305" s="87"/>
      <c r="E305" s="87"/>
      <c r="F305" s="50">
        <f t="shared" ref="F305:Z305" si="235">F282</f>
        <v>-71952150</v>
      </c>
      <c r="G305" s="50">
        <f t="shared" si="235"/>
        <v>0</v>
      </c>
      <c r="H305" s="50">
        <f t="shared" si="235"/>
        <v>0</v>
      </c>
      <c r="I305" s="50">
        <f t="shared" si="235"/>
        <v>0</v>
      </c>
      <c r="J305" s="50">
        <f t="shared" si="235"/>
        <v>0</v>
      </c>
      <c r="K305" s="59">
        <f t="shared" si="235"/>
        <v>79622955.746452361</v>
      </c>
      <c r="L305" s="59">
        <f t="shared" si="235"/>
        <v>0</v>
      </c>
      <c r="M305" s="59">
        <f t="shared" si="235"/>
        <v>0</v>
      </c>
      <c r="N305" s="59">
        <f t="shared" si="235"/>
        <v>0</v>
      </c>
      <c r="O305" s="59">
        <f t="shared" si="235"/>
        <v>0</v>
      </c>
      <c r="P305" s="59">
        <f t="shared" si="235"/>
        <v>227357110.29167658</v>
      </c>
      <c r="Q305" s="59">
        <f t="shared" si="235"/>
        <v>0</v>
      </c>
      <c r="R305" s="59">
        <f t="shared" si="235"/>
        <v>0</v>
      </c>
      <c r="S305" s="59">
        <f t="shared" si="235"/>
        <v>0</v>
      </c>
      <c r="T305" s="59">
        <f t="shared" si="235"/>
        <v>0</v>
      </c>
      <c r="U305" s="59">
        <f t="shared" si="235"/>
        <v>387409671.21763587</v>
      </c>
      <c r="V305" s="59">
        <f t="shared" si="235"/>
        <v>0</v>
      </c>
      <c r="W305" s="59">
        <f t="shared" si="235"/>
        <v>0</v>
      </c>
      <c r="X305" s="59">
        <f t="shared" si="235"/>
        <v>0</v>
      </c>
      <c r="Y305" s="59">
        <f t="shared" si="235"/>
        <v>0</v>
      </c>
      <c r="Z305" s="59">
        <f t="shared" si="235"/>
        <v>567036839.8811233</v>
      </c>
    </row>
    <row r="306" spans="1:27" s="22" customFormat="1" ht="18" hidden="1" outlineLevel="1" thickBot="1" x14ac:dyDescent="0.4">
      <c r="A306" s="42" t="s">
        <v>115</v>
      </c>
      <c r="B306" s="44"/>
      <c r="C306" s="88"/>
      <c r="D306" s="88"/>
      <c r="E306" s="88"/>
      <c r="F306" s="91">
        <f>SUM(F303:F305)</f>
        <v>-6852150</v>
      </c>
      <c r="G306" s="91"/>
      <c r="H306" s="91"/>
      <c r="I306" s="91"/>
      <c r="J306" s="91"/>
      <c r="K306" s="91">
        <f t="shared" ref="K306:Z306" si="236">SUM(K303:K305)</f>
        <v>72770805.746452361</v>
      </c>
      <c r="L306" s="91"/>
      <c r="M306" s="91"/>
      <c r="N306" s="91"/>
      <c r="O306" s="91"/>
      <c r="P306" s="91">
        <f t="shared" si="236"/>
        <v>300127916.03812897</v>
      </c>
      <c r="Q306" s="91"/>
      <c r="R306" s="91"/>
      <c r="S306" s="91"/>
      <c r="T306" s="91"/>
      <c r="U306" s="91">
        <f t="shared" si="236"/>
        <v>687537587.25576484</v>
      </c>
      <c r="V306" s="91"/>
      <c r="W306" s="91"/>
      <c r="X306" s="91"/>
      <c r="Y306" s="91"/>
      <c r="Z306" s="91">
        <f t="shared" si="236"/>
        <v>1254574427.136888</v>
      </c>
    </row>
    <row r="307" spans="1:27" s="18" customFormat="1" hidden="1" outlineLevel="1" x14ac:dyDescent="0.3">
      <c r="A307" s="39"/>
      <c r="B307" s="43"/>
      <c r="C307" s="87"/>
      <c r="D307" s="87"/>
      <c r="E307" s="87"/>
      <c r="F307" s="87"/>
      <c r="G307" s="87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</row>
    <row r="308" spans="1:27" ht="17.25" hidden="1" outlineLevel="1" x14ac:dyDescent="0.35">
      <c r="A308" s="40" t="s">
        <v>112</v>
      </c>
      <c r="B308" s="43"/>
      <c r="C308" s="87"/>
      <c r="D308" s="87"/>
      <c r="E308" s="87"/>
      <c r="F308" s="87"/>
      <c r="G308" s="87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7" ht="18" hidden="1" outlineLevel="1" x14ac:dyDescent="0.35">
      <c r="A309" s="39" t="s">
        <v>246</v>
      </c>
      <c r="B309" s="43"/>
      <c r="C309" s="87"/>
      <c r="D309" s="87"/>
      <c r="E309" s="87"/>
      <c r="F309" s="92">
        <f>'Source Data'!H285</f>
        <v>281765697.78528064</v>
      </c>
      <c r="G309" s="92"/>
      <c r="H309" s="92"/>
      <c r="I309" s="92"/>
      <c r="J309" s="92"/>
      <c r="K309" s="93">
        <f>'Source Data'!H286</f>
        <v>262693008.24531323</v>
      </c>
      <c r="L309" s="93"/>
      <c r="M309" s="93"/>
      <c r="N309" s="93"/>
      <c r="O309" s="93"/>
      <c r="P309" s="93">
        <f>'Source Data'!H287</f>
        <v>240377961.48355135</v>
      </c>
      <c r="Q309" s="93"/>
      <c r="R309" s="93"/>
      <c r="S309" s="93"/>
      <c r="T309" s="93"/>
      <c r="U309" s="93">
        <f>'Source Data'!H288</f>
        <v>214269356.77228996</v>
      </c>
      <c r="V309" s="93"/>
      <c r="W309" s="93"/>
      <c r="X309" s="93"/>
      <c r="Y309" s="93"/>
      <c r="Z309" s="93">
        <f>'Source Data'!H289</f>
        <v>183722289.26011413</v>
      </c>
    </row>
    <row r="310" spans="1:27" hidden="1" outlineLevel="1" x14ac:dyDescent="0.3">
      <c r="C310" s="68"/>
      <c r="D310" s="68"/>
      <c r="E310" s="68"/>
      <c r="F310" s="68"/>
      <c r="G310" s="87"/>
      <c r="H310" s="71"/>
      <c r="I310" s="71"/>
      <c r="J310" s="71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</row>
    <row r="311" spans="1:27" hidden="1" outlineLevel="1" x14ac:dyDescent="0.3">
      <c r="A311" s="39"/>
      <c r="B311" s="43"/>
      <c r="C311" s="87"/>
      <c r="D311" s="87"/>
      <c r="E311" s="87"/>
      <c r="F311" s="87"/>
      <c r="G311" s="87"/>
      <c r="H311" s="71"/>
      <c r="I311" s="71"/>
      <c r="J311" s="71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</row>
    <row r="312" spans="1:27" s="4" customFormat="1" ht="18" hidden="1" outlineLevel="1" thickBot="1" x14ac:dyDescent="0.4">
      <c r="A312" s="42" t="s">
        <v>116</v>
      </c>
      <c r="B312" s="44"/>
      <c r="C312" s="88"/>
      <c r="D312" s="88"/>
      <c r="E312" s="88"/>
      <c r="F312" s="88">
        <f>SUM(F309:F311)</f>
        <v>281765697.78528064</v>
      </c>
      <c r="G312" s="88"/>
      <c r="H312" s="88"/>
      <c r="I312" s="88"/>
      <c r="J312" s="88"/>
      <c r="K312" s="88">
        <f t="shared" ref="K312:Z312" si="237">SUM(K309:K311)</f>
        <v>262693008.24531323</v>
      </c>
      <c r="L312" s="88"/>
      <c r="M312" s="88"/>
      <c r="N312" s="88"/>
      <c r="O312" s="88"/>
      <c r="P312" s="88">
        <f t="shared" si="237"/>
        <v>240377961.48355135</v>
      </c>
      <c r="Q312" s="88"/>
      <c r="R312" s="88"/>
      <c r="S312" s="88"/>
      <c r="T312" s="88"/>
      <c r="U312" s="88">
        <f t="shared" si="237"/>
        <v>214269356.77228996</v>
      </c>
      <c r="V312" s="88"/>
      <c r="W312" s="88"/>
      <c r="X312" s="88"/>
      <c r="Y312" s="88"/>
      <c r="Z312" s="88">
        <f t="shared" si="237"/>
        <v>183722289.26011413</v>
      </c>
    </row>
    <row r="313" spans="1:27" ht="17.25" hidden="1" outlineLevel="1" x14ac:dyDescent="0.35">
      <c r="A313" s="40"/>
      <c r="B313" s="43"/>
      <c r="C313" s="87"/>
      <c r="D313" s="87"/>
      <c r="E313" s="87"/>
      <c r="F313" s="87"/>
      <c r="G313" s="87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7" s="18" customFormat="1" ht="17.25" hidden="1" outlineLevel="1" x14ac:dyDescent="0.35">
      <c r="A314" s="40" t="s">
        <v>113</v>
      </c>
      <c r="B314" s="43"/>
      <c r="C314" s="87"/>
      <c r="D314" s="87"/>
      <c r="E314" s="87"/>
      <c r="F314" s="87"/>
      <c r="G314" s="87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</row>
    <row r="315" spans="1:27" s="18" customFormat="1" hidden="1" outlineLevel="1" x14ac:dyDescent="0.3">
      <c r="A315" s="39" t="s">
        <v>219</v>
      </c>
      <c r="B315" s="43"/>
      <c r="C315" s="87"/>
      <c r="D315" s="87"/>
      <c r="E315" s="87"/>
      <c r="F315" s="87" t="str">
        <f>IFERROR(IF(F346&lt;0,F346*-1,""),"")</f>
        <v/>
      </c>
      <c r="G315" s="87"/>
      <c r="H315" s="87"/>
      <c r="I315" s="87"/>
      <c r="J315" s="87"/>
      <c r="K315" s="60" t="str">
        <f>IFERROR(IF(K346&lt;0,K346*-1,""),"")</f>
        <v/>
      </c>
      <c r="L315" s="60"/>
      <c r="M315" s="60"/>
      <c r="N315" s="60"/>
      <c r="O315" s="60"/>
      <c r="P315" s="60" t="str">
        <f>IFERROR(IF(P346&lt;0,P346*-1,""),"")</f>
        <v/>
      </c>
      <c r="Q315" s="60"/>
      <c r="R315" s="60"/>
      <c r="S315" s="60"/>
      <c r="T315" s="60"/>
      <c r="U315" s="60" t="str">
        <f>IFERROR(IF(U346&lt;0,U346*-1,""),"")</f>
        <v/>
      </c>
      <c r="V315" s="60"/>
      <c r="W315" s="60"/>
      <c r="X315" s="60"/>
      <c r="Y315" s="60"/>
      <c r="Z315" s="60" t="str">
        <f>IFERROR(IF(Z346&lt;0,Z346*-1,""),"")</f>
        <v/>
      </c>
      <c r="AA315" s="153"/>
    </row>
    <row r="316" spans="1:27" s="18" customFormat="1" hidden="1" outlineLevel="1" x14ac:dyDescent="0.3">
      <c r="A316" s="39" t="s">
        <v>245</v>
      </c>
      <c r="B316" s="43"/>
      <c r="C316" s="87"/>
      <c r="D316" s="87"/>
      <c r="E316" s="87"/>
      <c r="F316" s="87">
        <f>'Source Data'!G285</f>
        <v>16301444.051254205</v>
      </c>
      <c r="G316" s="87"/>
      <c r="H316" s="87"/>
      <c r="I316" s="87"/>
      <c r="J316" s="87"/>
      <c r="K316" s="60">
        <f>'Source Data'!G286</f>
        <v>19072689.539967425</v>
      </c>
      <c r="L316" s="60"/>
      <c r="M316" s="60"/>
      <c r="N316" s="60"/>
      <c r="O316" s="60"/>
      <c r="P316" s="60">
        <f>'Source Data'!G287</f>
        <v>22315046.761761881</v>
      </c>
      <c r="Q316" s="60"/>
      <c r="R316" s="60"/>
      <c r="S316" s="60"/>
      <c r="T316" s="60"/>
      <c r="U316" s="60">
        <f>'Source Data'!G288</f>
        <v>26108604.711261399</v>
      </c>
      <c r="V316" s="60"/>
      <c r="W316" s="60"/>
      <c r="X316" s="60"/>
      <c r="Y316" s="60"/>
      <c r="Z316" s="60">
        <f>'Source Data'!G289</f>
        <v>30547067.512175836</v>
      </c>
      <c r="AA316" s="153"/>
    </row>
    <row r="317" spans="1:27" s="18" customFormat="1" hidden="1" outlineLevel="1" x14ac:dyDescent="0.3">
      <c r="A317" s="39" t="s">
        <v>214</v>
      </c>
      <c r="B317" s="43"/>
      <c r="C317" s="87"/>
      <c r="D317" s="87"/>
      <c r="E317" s="87"/>
      <c r="F317" s="87">
        <f>F391</f>
        <v>3345000</v>
      </c>
      <c r="G317" s="87"/>
      <c r="H317" s="60"/>
      <c r="I317" s="60"/>
      <c r="J317" s="60"/>
      <c r="K317" s="60">
        <f>K391</f>
        <v>3190000</v>
      </c>
      <c r="L317" s="60"/>
      <c r="M317" s="60"/>
      <c r="N317" s="60"/>
      <c r="O317" s="60"/>
      <c r="P317" s="60">
        <f>P391</f>
        <v>3154000</v>
      </c>
      <c r="Q317" s="60"/>
      <c r="R317" s="60"/>
      <c r="S317" s="60"/>
      <c r="T317" s="60"/>
      <c r="U317" s="60">
        <f>U391</f>
        <v>3857579.2</v>
      </c>
      <c r="V317" s="60"/>
      <c r="W317" s="60"/>
      <c r="X317" s="60"/>
      <c r="Y317" s="60"/>
      <c r="Z317" s="60">
        <f>Z391</f>
        <v>4243168</v>
      </c>
    </row>
    <row r="318" spans="1:27" s="22" customFormat="1" ht="18" hidden="1" outlineLevel="1" thickBot="1" x14ac:dyDescent="0.4">
      <c r="A318" s="42" t="s">
        <v>117</v>
      </c>
      <c r="B318" s="44"/>
      <c r="C318" s="88"/>
      <c r="D318" s="88"/>
      <c r="E318" s="88"/>
      <c r="F318" s="88">
        <f>SUM(F315:F317)</f>
        <v>19646444.051254205</v>
      </c>
      <c r="G318" s="88"/>
      <c r="H318" s="88"/>
      <c r="I318" s="88"/>
      <c r="J318" s="88"/>
      <c r="K318" s="88">
        <f>SUM(K315:K317)</f>
        <v>22262689.539967425</v>
      </c>
      <c r="L318" s="88"/>
      <c r="M318" s="88"/>
      <c r="N318" s="88"/>
      <c r="O318" s="88"/>
      <c r="P318" s="88">
        <f>SUM(P315:P317)</f>
        <v>25469046.761761881</v>
      </c>
      <c r="Q318" s="88"/>
      <c r="R318" s="88"/>
      <c r="S318" s="88"/>
      <c r="T318" s="88"/>
      <c r="U318" s="88">
        <f>SUM(U315:U317)</f>
        <v>29966183.911261398</v>
      </c>
      <c r="V318" s="88"/>
      <c r="W318" s="88"/>
      <c r="X318" s="88"/>
      <c r="Y318" s="88"/>
      <c r="Z318" s="88">
        <f>SUM(Z315:Z317)</f>
        <v>34790235.512175836</v>
      </c>
    </row>
    <row r="319" spans="1:27" s="22" customFormat="1" ht="18" hidden="1" outlineLevel="1" thickBot="1" x14ac:dyDescent="0.4">
      <c r="A319" s="54" t="s">
        <v>149</v>
      </c>
      <c r="B319" s="55"/>
      <c r="C319" s="89"/>
      <c r="D319" s="89"/>
      <c r="E319" s="89"/>
      <c r="F319" s="89">
        <f>F318+F312+F306</f>
        <v>294559991.83653486</v>
      </c>
      <c r="G319" s="89"/>
      <c r="H319" s="89"/>
      <c r="I319" s="89"/>
      <c r="J319" s="89"/>
      <c r="K319" s="89">
        <f>K318+K312+K306</f>
        <v>357726503.53173304</v>
      </c>
      <c r="L319" s="89"/>
      <c r="M319" s="89"/>
      <c r="N319" s="89"/>
      <c r="O319" s="89"/>
      <c r="P319" s="89">
        <f>P318+P312+P306</f>
        <v>565974924.28344226</v>
      </c>
      <c r="Q319" s="89"/>
      <c r="R319" s="89"/>
      <c r="S319" s="89"/>
      <c r="T319" s="89"/>
      <c r="U319" s="89">
        <f>U318+U312+U306</f>
        <v>931773127.93931627</v>
      </c>
      <c r="V319" s="89"/>
      <c r="W319" s="89"/>
      <c r="X319" s="89"/>
      <c r="Y319" s="89"/>
      <c r="Z319" s="55">
        <f>Z318+Z312+Z306</f>
        <v>1473086951.909178</v>
      </c>
    </row>
    <row r="320" spans="1:27" ht="17.25" hidden="1" outlineLevel="1" thickTop="1" x14ac:dyDescent="0.3">
      <c r="A320" s="39"/>
      <c r="B320" s="43"/>
      <c r="C320" s="87"/>
      <c r="D320" s="87"/>
      <c r="E320" s="87"/>
      <c r="F320" s="87">
        <f>F319-F300</f>
        <v>0</v>
      </c>
      <c r="G320" s="87"/>
      <c r="H320" s="71"/>
      <c r="I320" s="71"/>
      <c r="J320" s="71"/>
      <c r="K320" s="71">
        <f>K300-K319</f>
        <v>0</v>
      </c>
      <c r="L320" s="71"/>
      <c r="M320" s="71"/>
      <c r="N320" s="71"/>
      <c r="O320" s="71"/>
      <c r="P320" s="71">
        <f>P300-P319</f>
        <v>0</v>
      </c>
      <c r="Q320" s="71"/>
      <c r="R320" s="71"/>
      <c r="S320" s="71"/>
      <c r="T320" s="71"/>
      <c r="U320" s="71">
        <f>U300-U319</f>
        <v>0</v>
      </c>
      <c r="V320" s="71"/>
      <c r="W320" s="71"/>
      <c r="X320" s="71"/>
      <c r="Y320" s="71"/>
      <c r="Z320" s="71">
        <f>Z300-Z319</f>
        <v>0</v>
      </c>
    </row>
    <row r="321" spans="1:27" x14ac:dyDescent="0.3">
      <c r="A321" s="39"/>
      <c r="B321" s="43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7" ht="17.25" collapsed="1" x14ac:dyDescent="0.35">
      <c r="A322" s="1" t="s">
        <v>153</v>
      </c>
      <c r="B322" s="1"/>
      <c r="C322" s="74"/>
      <c r="D322" s="74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</row>
    <row r="323" spans="1:27" ht="17.25" hidden="1" outlineLevel="1" x14ac:dyDescent="0.35">
      <c r="A323" s="4" t="s">
        <v>118</v>
      </c>
      <c r="B323" s="43"/>
      <c r="C323" s="87"/>
      <c r="D323" s="87"/>
      <c r="E323" s="87"/>
      <c r="F323" s="87"/>
      <c r="G323" s="87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7" hidden="1" outlineLevel="1" x14ac:dyDescent="0.3">
      <c r="A324" s="3" t="s">
        <v>119</v>
      </c>
      <c r="B324" s="43"/>
      <c r="C324" s="87"/>
      <c r="D324" s="87"/>
      <c r="E324" s="87"/>
      <c r="F324" s="60">
        <f>F282</f>
        <v>-71952150</v>
      </c>
      <c r="G324" s="60"/>
      <c r="H324" s="60"/>
      <c r="I324" s="60"/>
      <c r="J324" s="60"/>
      <c r="K324" s="60">
        <f>K282</f>
        <v>79622955.746452361</v>
      </c>
      <c r="L324" s="60"/>
      <c r="M324" s="60"/>
      <c r="N324" s="60"/>
      <c r="O324" s="60"/>
      <c r="P324" s="60">
        <f>P282</f>
        <v>227357110.29167658</v>
      </c>
      <c r="Q324" s="60"/>
      <c r="R324" s="60"/>
      <c r="S324" s="60"/>
      <c r="T324" s="60"/>
      <c r="U324" s="60">
        <f>U282</f>
        <v>387409671.21763587</v>
      </c>
      <c r="V324" s="60"/>
      <c r="W324" s="60"/>
      <c r="X324" s="60"/>
      <c r="Y324" s="60"/>
      <c r="Z324" s="60">
        <f>Z282</f>
        <v>567036839.8811233</v>
      </c>
    </row>
    <row r="325" spans="1:27" hidden="1" outlineLevel="1" x14ac:dyDescent="0.3">
      <c r="A325" s="3" t="s">
        <v>120</v>
      </c>
      <c r="B325" s="43"/>
      <c r="C325" s="87"/>
      <c r="D325" s="87"/>
      <c r="E325" s="87"/>
      <c r="F325" s="60">
        <f>F271</f>
        <v>38725000</v>
      </c>
      <c r="G325" s="60"/>
      <c r="H325" s="60"/>
      <c r="I325" s="60"/>
      <c r="J325" s="60"/>
      <c r="K325" s="60">
        <f>K271</f>
        <v>38725000</v>
      </c>
      <c r="L325" s="60"/>
      <c r="M325" s="60"/>
      <c r="N325" s="60"/>
      <c r="O325" s="60"/>
      <c r="P325" s="60">
        <f>P271</f>
        <v>38725000</v>
      </c>
      <c r="Q325" s="60"/>
      <c r="R325" s="60"/>
      <c r="S325" s="60"/>
      <c r="T325" s="60"/>
      <c r="U325" s="60">
        <f>U271</f>
        <v>44725000</v>
      </c>
      <c r="V325" s="60"/>
      <c r="W325" s="60"/>
      <c r="X325" s="60"/>
      <c r="Y325" s="60"/>
      <c r="Z325" s="60">
        <f>Z271</f>
        <v>28800000</v>
      </c>
    </row>
    <row r="326" spans="1:27" hidden="1" outlineLevel="1" x14ac:dyDescent="0.3">
      <c r="A326" s="3" t="s">
        <v>73</v>
      </c>
      <c r="B326" s="43"/>
      <c r="C326" s="87"/>
      <c r="D326" s="87"/>
      <c r="E326" s="87"/>
      <c r="F326" s="60">
        <f>F276</f>
        <v>53040000.000000007</v>
      </c>
      <c r="G326" s="60"/>
      <c r="H326" s="60"/>
      <c r="I326" s="60"/>
      <c r="J326" s="60"/>
      <c r="K326" s="60">
        <f>K276</f>
        <v>50671414.112210929</v>
      </c>
      <c r="L326" s="60"/>
      <c r="M326" s="60"/>
      <c r="N326" s="60"/>
      <c r="O326" s="60"/>
      <c r="P326" s="60">
        <f>P276</f>
        <v>47900168.62349771</v>
      </c>
      <c r="Q326" s="60"/>
      <c r="R326" s="60"/>
      <c r="S326" s="60"/>
      <c r="T326" s="60"/>
      <c r="U326" s="60">
        <f>U276</f>
        <v>44657811.401703253</v>
      </c>
      <c r="V326" s="60"/>
      <c r="W326" s="60"/>
      <c r="X326" s="60"/>
      <c r="Y326" s="60"/>
      <c r="Z326" s="60">
        <f>Z276</f>
        <v>40864253.452203736</v>
      </c>
    </row>
    <row r="327" spans="1:27" hidden="1" outlineLevel="1" x14ac:dyDescent="0.3">
      <c r="A327" s="3" t="s">
        <v>121</v>
      </c>
      <c r="B327" s="43"/>
      <c r="C327" s="87"/>
      <c r="D327" s="87"/>
      <c r="E327" s="87"/>
      <c r="F327" s="60">
        <f>F354</f>
        <v>-1225590</v>
      </c>
      <c r="G327" s="60"/>
      <c r="H327" s="60"/>
      <c r="I327" s="60"/>
      <c r="J327" s="60"/>
      <c r="K327" s="60">
        <f t="shared" ref="K327:Z327" si="238">K354</f>
        <v>-31300049.375</v>
      </c>
      <c r="L327" s="60"/>
      <c r="M327" s="60"/>
      <c r="N327" s="60"/>
      <c r="O327" s="60"/>
      <c r="P327" s="60">
        <f t="shared" si="238"/>
        <v>-26419643.671875</v>
      </c>
      <c r="Q327" s="60"/>
      <c r="R327" s="60"/>
      <c r="S327" s="60"/>
      <c r="T327" s="60"/>
      <c r="U327" s="60">
        <f t="shared" si="238"/>
        <v>-28008826.238671888</v>
      </c>
      <c r="V327" s="60"/>
      <c r="W327" s="60"/>
      <c r="X327" s="60"/>
      <c r="Y327" s="60"/>
      <c r="Z327" s="60">
        <f t="shared" si="238"/>
        <v>-30913221.799833979</v>
      </c>
    </row>
    <row r="328" spans="1:27" s="4" customFormat="1" ht="18" hidden="1" outlineLevel="1" thickBot="1" x14ac:dyDescent="0.4">
      <c r="A328" s="32" t="s">
        <v>122</v>
      </c>
      <c r="B328" s="44"/>
      <c r="C328" s="88"/>
      <c r="D328" s="88"/>
      <c r="E328" s="88"/>
      <c r="F328" s="88">
        <f>SUM(F324:F327)</f>
        <v>18587260.000000007</v>
      </c>
      <c r="G328" s="88"/>
      <c r="H328" s="88"/>
      <c r="I328" s="88"/>
      <c r="J328" s="88"/>
      <c r="K328" s="88">
        <f>SUM(K324:K327)</f>
        <v>137719320.48366329</v>
      </c>
      <c r="L328" s="88"/>
      <c r="M328" s="88"/>
      <c r="N328" s="88"/>
      <c r="O328" s="88"/>
      <c r="P328" s="88">
        <f>SUM(P324:P327)</f>
        <v>287562635.24329931</v>
      </c>
      <c r="Q328" s="88"/>
      <c r="R328" s="88"/>
      <c r="S328" s="88"/>
      <c r="T328" s="88"/>
      <c r="U328" s="88">
        <f>SUM(U324:U327)</f>
        <v>448783656.38066721</v>
      </c>
      <c r="V328" s="88"/>
      <c r="W328" s="88"/>
      <c r="X328" s="88"/>
      <c r="Y328" s="88"/>
      <c r="Z328" s="88">
        <f>SUM(Z324:Z327)</f>
        <v>605787871.53349304</v>
      </c>
      <c r="AA328" s="4" t="b">
        <f>K319=K300</f>
        <v>1</v>
      </c>
    </row>
    <row r="329" spans="1:27" hidden="1" outlineLevel="1" x14ac:dyDescent="0.3">
      <c r="B329" s="43"/>
      <c r="C329" s="87"/>
      <c r="D329" s="87"/>
      <c r="E329" s="87"/>
      <c r="F329" s="60"/>
      <c r="G329" s="60"/>
      <c r="H329" s="60"/>
      <c r="I329" s="60"/>
      <c r="J329" s="60"/>
      <c r="K329" s="60"/>
      <c r="L329" s="60"/>
      <c r="M329" s="60"/>
      <c r="N329" s="60"/>
      <c r="O329" s="60"/>
      <c r="P329" s="60"/>
      <c r="Q329" s="60"/>
      <c r="R329" s="60"/>
      <c r="S329" s="60"/>
      <c r="T329" s="60"/>
      <c r="U329" s="60"/>
      <c r="V329" s="60"/>
      <c r="W329" s="60"/>
      <c r="X329" s="60"/>
      <c r="Y329" s="60"/>
      <c r="Z329" s="60"/>
    </row>
    <row r="330" spans="1:27" ht="17.25" hidden="1" outlineLevel="1" x14ac:dyDescent="0.35">
      <c r="A330" s="4" t="s">
        <v>123</v>
      </c>
      <c r="B330" s="43"/>
      <c r="C330" s="87"/>
      <c r="D330" s="87"/>
      <c r="E330" s="87"/>
      <c r="F330" s="60"/>
      <c r="G330" s="60"/>
      <c r="H330" s="60"/>
      <c r="I330" s="60"/>
      <c r="J330" s="60"/>
      <c r="K330" s="60"/>
      <c r="L330" s="60"/>
      <c r="M330" s="60"/>
      <c r="N330" s="60"/>
      <c r="O330" s="60"/>
      <c r="P330" s="60"/>
      <c r="Q330" s="60"/>
      <c r="R330" s="60"/>
      <c r="S330" s="60"/>
      <c r="T330" s="60"/>
      <c r="U330" s="60"/>
      <c r="V330" s="60"/>
      <c r="W330" s="60"/>
      <c r="X330" s="60"/>
      <c r="Y330" s="60"/>
      <c r="Z330" s="60"/>
    </row>
    <row r="331" spans="1:27" hidden="1" outlineLevel="1" x14ac:dyDescent="0.3">
      <c r="A331" s="3" t="s">
        <v>124</v>
      </c>
      <c r="B331" s="43"/>
      <c r="C331" s="87"/>
      <c r="D331" s="87"/>
      <c r="E331" s="87"/>
      <c r="F331" s="60">
        <f>-(F366+F367+F370+F371+F369+F368)</f>
        <v>-327700000</v>
      </c>
      <c r="G331" s="60"/>
      <c r="H331" s="60"/>
      <c r="I331" s="60"/>
      <c r="J331" s="60"/>
      <c r="K331" s="60">
        <f>-(K366+K367+K370+K371+K369+K368)</f>
        <v>0</v>
      </c>
      <c r="L331" s="60"/>
      <c r="M331" s="60"/>
      <c r="N331" s="60"/>
      <c r="O331" s="60"/>
      <c r="P331" s="60">
        <f>-(P366+P367+P370+P371+P369+P368)</f>
        <v>0</v>
      </c>
      <c r="Q331" s="60"/>
      <c r="R331" s="60"/>
      <c r="S331" s="60"/>
      <c r="T331" s="60"/>
      <c r="U331" s="60">
        <f>-(U366+U367+U370+U371+U369+U368)</f>
        <v>-24000000</v>
      </c>
      <c r="V331" s="60"/>
      <c r="W331" s="60"/>
      <c r="X331" s="60"/>
      <c r="Y331" s="60"/>
      <c r="Z331" s="60">
        <f>-(Z366+Z367+Z370+Z371+Z369+Z368)</f>
        <v>0</v>
      </c>
    </row>
    <row r="332" spans="1:27" hidden="1" outlineLevel="1" x14ac:dyDescent="0.3">
      <c r="A332" s="3" t="s">
        <v>125</v>
      </c>
      <c r="B332" s="43"/>
      <c r="C332" s="87"/>
      <c r="D332" s="87"/>
      <c r="E332" s="87"/>
      <c r="F332" s="60">
        <f>F387</f>
        <v>0</v>
      </c>
      <c r="G332" s="60"/>
      <c r="H332" s="60"/>
      <c r="I332" s="60"/>
      <c r="J332" s="60"/>
      <c r="K332" s="60">
        <f t="shared" ref="K332:Z332" si="239">K387</f>
        <v>0</v>
      </c>
      <c r="L332" s="60"/>
      <c r="M332" s="60"/>
      <c r="N332" s="60"/>
      <c r="O332" s="60"/>
      <c r="P332" s="60">
        <f t="shared" si="239"/>
        <v>0</v>
      </c>
      <c r="Q332" s="60"/>
      <c r="R332" s="60"/>
      <c r="S332" s="60"/>
      <c r="T332" s="60"/>
      <c r="U332" s="60">
        <f t="shared" si="239"/>
        <v>0</v>
      </c>
      <c r="V332" s="60"/>
      <c r="W332" s="60"/>
      <c r="X332" s="60"/>
      <c r="Y332" s="60"/>
      <c r="Z332" s="60">
        <f t="shared" si="239"/>
        <v>0</v>
      </c>
    </row>
    <row r="333" spans="1:27" s="4" customFormat="1" ht="18" hidden="1" outlineLevel="1" thickBot="1" x14ac:dyDescent="0.4">
      <c r="A333" s="32" t="s">
        <v>126</v>
      </c>
      <c r="B333" s="44"/>
      <c r="C333" s="88"/>
      <c r="D333" s="88"/>
      <c r="E333" s="88"/>
      <c r="F333" s="88">
        <f>SUM(F331:F332)</f>
        <v>-327700000</v>
      </c>
      <c r="G333" s="88"/>
      <c r="H333" s="88"/>
      <c r="I333" s="88"/>
      <c r="J333" s="88"/>
      <c r="K333" s="88">
        <f t="shared" ref="K333:Z333" si="240">SUM(K331:K332)</f>
        <v>0</v>
      </c>
      <c r="L333" s="88"/>
      <c r="M333" s="88"/>
      <c r="N333" s="88"/>
      <c r="O333" s="88"/>
      <c r="P333" s="88">
        <f t="shared" si="240"/>
        <v>0</v>
      </c>
      <c r="Q333" s="88"/>
      <c r="R333" s="88"/>
      <c r="S333" s="88"/>
      <c r="T333" s="88"/>
      <c r="U333" s="88">
        <f t="shared" si="240"/>
        <v>-24000000</v>
      </c>
      <c r="V333" s="88"/>
      <c r="W333" s="88"/>
      <c r="X333" s="88"/>
      <c r="Y333" s="88"/>
      <c r="Z333" s="88">
        <f t="shared" si="240"/>
        <v>0</v>
      </c>
    </row>
    <row r="334" spans="1:27" hidden="1" outlineLevel="1" x14ac:dyDescent="0.3">
      <c r="B334" s="43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7" ht="17.25" hidden="1" outlineLevel="1" x14ac:dyDescent="0.35">
      <c r="A335" s="4" t="s">
        <v>127</v>
      </c>
      <c r="B335" s="43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7" hidden="1" outlineLevel="1" x14ac:dyDescent="0.3">
      <c r="A336" s="3" t="s">
        <v>209</v>
      </c>
      <c r="B336" s="43"/>
      <c r="C336" s="87"/>
      <c r="D336" s="87"/>
      <c r="E336" s="87"/>
      <c r="F336" s="87">
        <f>F389</f>
        <v>100000</v>
      </c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hidden="1" outlineLevel="1" x14ac:dyDescent="0.3">
      <c r="A337" s="3" t="s">
        <v>210</v>
      </c>
      <c r="B337" s="43"/>
      <c r="C337" s="87"/>
      <c r="D337" s="87"/>
      <c r="E337" s="87"/>
      <c r="F337" s="87">
        <v>65000000</v>
      </c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hidden="1" outlineLevel="1" x14ac:dyDescent="0.3">
      <c r="A338" s="3" t="s">
        <v>211</v>
      </c>
      <c r="B338" s="43"/>
      <c r="C338" s="87"/>
      <c r="D338" s="87"/>
      <c r="E338" s="87"/>
      <c r="F338" s="87">
        <f>'Source Data'!B283</f>
        <v>312000000</v>
      </c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hidden="1" outlineLevel="1" x14ac:dyDescent="0.3">
      <c r="A339" s="3" t="s">
        <v>208</v>
      </c>
      <c r="B339" s="43"/>
      <c r="C339" s="87"/>
      <c r="D339" s="87"/>
      <c r="E339" s="87"/>
      <c r="F339" s="87">
        <f>-'Source Data'!E284</f>
        <v>-66972858.163465135</v>
      </c>
      <c r="G339" s="87"/>
      <c r="H339" s="87"/>
      <c r="I339" s="87"/>
      <c r="J339" s="87"/>
      <c r="K339" s="60">
        <f>-'Source Data'!E285</f>
        <v>-66972858.163465135</v>
      </c>
      <c r="L339" s="60"/>
      <c r="M339" s="60"/>
      <c r="N339" s="60"/>
      <c r="O339" s="60"/>
      <c r="P339" s="60">
        <f>-'Source Data'!E286</f>
        <v>-66972858.163465135</v>
      </c>
      <c r="Q339" s="60"/>
      <c r="R339" s="60"/>
      <c r="S339" s="60"/>
      <c r="T339" s="60"/>
      <c r="U339" s="60">
        <f>-'Source Data'!E287</f>
        <v>-66972858.163465135</v>
      </c>
      <c r="V339" s="60"/>
      <c r="W339" s="60"/>
      <c r="X339" s="60"/>
      <c r="Y339" s="60"/>
      <c r="Z339" s="60">
        <f>-'Source Data'!E288</f>
        <v>-66972858.163465135</v>
      </c>
    </row>
    <row r="340" spans="1:26" hidden="1" outlineLevel="1" x14ac:dyDescent="0.3">
      <c r="B340" s="43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hidden="1" outlineLevel="1" x14ac:dyDescent="0.3">
      <c r="B341" s="43"/>
      <c r="C341" s="87"/>
      <c r="D341" s="87"/>
      <c r="E341" s="87"/>
      <c r="F341" s="87"/>
      <c r="G341" s="87"/>
      <c r="H341" s="87"/>
      <c r="I341" s="87"/>
      <c r="J341" s="87"/>
      <c r="K341" s="60"/>
      <c r="L341" s="60"/>
      <c r="M341" s="60"/>
      <c r="N341" s="60"/>
      <c r="O341" s="60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</row>
    <row r="342" spans="1:26" ht="18" hidden="1" outlineLevel="1" thickBot="1" x14ac:dyDescent="0.4">
      <c r="A342" s="32" t="s">
        <v>128</v>
      </c>
      <c r="B342" s="47"/>
      <c r="C342" s="94"/>
      <c r="D342" s="94"/>
      <c r="E342" s="94"/>
      <c r="F342" s="94">
        <f>SUM(F336:F341)</f>
        <v>310127141.83653486</v>
      </c>
      <c r="G342" s="94"/>
      <c r="H342" s="94"/>
      <c r="I342" s="94"/>
      <c r="J342" s="94"/>
      <c r="K342" s="94">
        <f>SUM(K336:K341)</f>
        <v>-66972858.163465135</v>
      </c>
      <c r="L342" s="94"/>
      <c r="M342" s="94"/>
      <c r="N342" s="94"/>
      <c r="O342" s="94"/>
      <c r="P342" s="94">
        <f>SUM(P336:P341)</f>
        <v>-66972858.163465135</v>
      </c>
      <c r="Q342" s="94"/>
      <c r="R342" s="94"/>
      <c r="S342" s="94"/>
      <c r="T342" s="94"/>
      <c r="U342" s="94">
        <f>SUM(U336:U341)</f>
        <v>-66972858.163465135</v>
      </c>
      <c r="V342" s="94"/>
      <c r="W342" s="94"/>
      <c r="X342" s="94"/>
      <c r="Y342" s="94"/>
      <c r="Z342" s="94">
        <f>SUM(Z336:Z341)</f>
        <v>-66972858.163465135</v>
      </c>
    </row>
    <row r="343" spans="1:26" hidden="1" outlineLevel="1" x14ac:dyDescent="0.3">
      <c r="B343" s="43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hidden="1" outlineLevel="1" x14ac:dyDescent="0.3">
      <c r="A344" s="3" t="s">
        <v>129</v>
      </c>
      <c r="B344" s="43"/>
      <c r="C344" s="87"/>
      <c r="D344" s="87"/>
      <c r="E344" s="87"/>
      <c r="F344" s="87">
        <f>F328+F333+F342</f>
        <v>1014401.8365348577</v>
      </c>
      <c r="G344" s="87"/>
      <c r="H344" s="87"/>
      <c r="I344" s="87"/>
      <c r="J344" s="87"/>
      <c r="K344" s="60">
        <f>K328+K333+K342</f>
        <v>70746462.320198148</v>
      </c>
      <c r="L344" s="60"/>
      <c r="M344" s="60"/>
      <c r="N344" s="60"/>
      <c r="O344" s="60"/>
      <c r="P344" s="60">
        <f t="shared" ref="P344:Z344" si="241">P328+P333+P342</f>
        <v>220589777.07983416</v>
      </c>
      <c r="Q344" s="60"/>
      <c r="R344" s="60"/>
      <c r="S344" s="60"/>
      <c r="T344" s="60"/>
      <c r="U344" s="60">
        <f t="shared" si="241"/>
        <v>357810798.21720207</v>
      </c>
      <c r="V344" s="60"/>
      <c r="W344" s="60"/>
      <c r="X344" s="60"/>
      <c r="Y344" s="60"/>
      <c r="Z344" s="60">
        <f t="shared" si="241"/>
        <v>538815013.3700279</v>
      </c>
    </row>
    <row r="345" spans="1:26" hidden="1" outlineLevel="1" x14ac:dyDescent="0.3">
      <c r="A345" s="3" t="s">
        <v>130</v>
      </c>
      <c r="B345" s="43"/>
      <c r="C345" s="87"/>
      <c r="D345" s="87"/>
      <c r="E345" s="87"/>
      <c r="F345" s="87"/>
      <c r="G345" s="87"/>
      <c r="H345" s="87"/>
      <c r="I345" s="87"/>
      <c r="J345" s="87"/>
      <c r="K345" s="60">
        <f>F346</f>
        <v>1014401.8365348577</v>
      </c>
      <c r="L345" s="60"/>
      <c r="M345" s="60"/>
      <c r="N345" s="60"/>
      <c r="O345" s="60"/>
      <c r="P345" s="60">
        <f t="shared" ref="P345:Z345" si="242">K346</f>
        <v>71760864.156733006</v>
      </c>
      <c r="Q345" s="60"/>
      <c r="R345" s="60"/>
      <c r="S345" s="60"/>
      <c r="T345" s="60"/>
      <c r="U345" s="60">
        <f t="shared" si="242"/>
        <v>292350641.23656714</v>
      </c>
      <c r="V345" s="60"/>
      <c r="W345" s="60"/>
      <c r="X345" s="60"/>
      <c r="Y345" s="60"/>
      <c r="Z345" s="60">
        <f t="shared" si="242"/>
        <v>650161439.45376921</v>
      </c>
    </row>
    <row r="346" spans="1:26" s="4" customFormat="1" ht="18" hidden="1" outlineLevel="1" thickBot="1" x14ac:dyDescent="0.4">
      <c r="A346" s="16" t="s">
        <v>131</v>
      </c>
      <c r="B346" s="45"/>
      <c r="C346" s="95"/>
      <c r="D346" s="95"/>
      <c r="E346" s="95"/>
      <c r="F346" s="95">
        <f>SUM(F344:F345)</f>
        <v>1014401.8365348577</v>
      </c>
      <c r="G346" s="95"/>
      <c r="H346" s="95"/>
      <c r="I346" s="95"/>
      <c r="J346" s="95"/>
      <c r="K346" s="95">
        <f>SUM(K344:K345)</f>
        <v>71760864.156733006</v>
      </c>
      <c r="L346" s="95"/>
      <c r="M346" s="95"/>
      <c r="N346" s="95"/>
      <c r="O346" s="95"/>
      <c r="P346" s="95">
        <f t="shared" ref="P346:Z346" si="243">SUM(P344:P345)</f>
        <v>292350641.23656714</v>
      </c>
      <c r="Q346" s="95"/>
      <c r="R346" s="95"/>
      <c r="S346" s="95"/>
      <c r="T346" s="95"/>
      <c r="U346" s="95">
        <f t="shared" si="243"/>
        <v>650161439.45376921</v>
      </c>
      <c r="V346" s="95"/>
      <c r="W346" s="95"/>
      <c r="X346" s="95"/>
      <c r="Y346" s="95"/>
      <c r="Z346" s="95">
        <f t="shared" si="243"/>
        <v>1188976452.8237972</v>
      </c>
    </row>
    <row r="347" spans="1:26" ht="17.25" hidden="1" outlineLevel="1" thickTop="1" x14ac:dyDescent="0.3">
      <c r="A347" s="39"/>
      <c r="B347" s="43"/>
      <c r="C347" s="87"/>
      <c r="D347" s="87"/>
      <c r="E347" s="87"/>
      <c r="F347" s="87"/>
      <c r="G347" s="87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3">
      <c r="A348" s="39"/>
      <c r="B348" s="43"/>
      <c r="C348" s="87"/>
      <c r="D348" s="87"/>
      <c r="E348" s="87"/>
      <c r="F348" s="87"/>
      <c r="G348" s="87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ht="17.25" collapsed="1" x14ac:dyDescent="0.35">
      <c r="A349" s="1" t="s">
        <v>132</v>
      </c>
      <c r="B349" s="2"/>
      <c r="C349" s="74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</row>
    <row r="350" spans="1:26" ht="17.25" hidden="1" outlineLevel="1" x14ac:dyDescent="0.35">
      <c r="A350" s="4" t="s">
        <v>133</v>
      </c>
      <c r="B350" s="43"/>
      <c r="C350" s="87"/>
      <c r="D350" s="87"/>
      <c r="E350" s="87"/>
      <c r="F350" s="87"/>
      <c r="G350" s="87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hidden="1" outlineLevel="1" x14ac:dyDescent="0.3">
      <c r="A351" s="3" t="s">
        <v>134</v>
      </c>
      <c r="B351" s="43"/>
      <c r="C351" s="87"/>
      <c r="D351" s="87"/>
      <c r="E351" s="87"/>
      <c r="F351" s="87">
        <f>-F298</f>
        <v>-4570590</v>
      </c>
      <c r="G351" s="87"/>
      <c r="H351" s="71"/>
      <c r="I351" s="71"/>
      <c r="J351" s="71"/>
      <c r="K351" s="71">
        <f>(K298-F298)*-1</f>
        <v>-31145049.375</v>
      </c>
      <c r="L351" s="71"/>
      <c r="M351" s="71"/>
      <c r="N351" s="71"/>
      <c r="O351" s="71"/>
      <c r="P351" s="71">
        <f>(P298-K298)*-1</f>
        <v>-26383643.671875</v>
      </c>
      <c r="Q351" s="71"/>
      <c r="R351" s="71"/>
      <c r="S351" s="71"/>
      <c r="T351" s="71"/>
      <c r="U351" s="71">
        <f>(U298-P298)*-1</f>
        <v>-28712405.438671887</v>
      </c>
      <c r="V351" s="71"/>
      <c r="W351" s="71"/>
      <c r="X351" s="71"/>
      <c r="Y351" s="71"/>
      <c r="Z351" s="71">
        <f>(Z298-U298)*-1</f>
        <v>-31298810.59983398</v>
      </c>
    </row>
    <row r="352" spans="1:26" hidden="1" outlineLevel="1" x14ac:dyDescent="0.3">
      <c r="A352" s="3" t="s">
        <v>135</v>
      </c>
      <c r="B352" s="43"/>
      <c r="C352" s="87"/>
      <c r="D352" s="87"/>
      <c r="E352" s="87"/>
      <c r="F352" s="87"/>
      <c r="G352" s="87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hidden="1" outlineLevel="1" x14ac:dyDescent="0.3">
      <c r="A353" s="3" t="s">
        <v>136</v>
      </c>
      <c r="B353" s="43"/>
      <c r="C353" s="87"/>
      <c r="D353" s="87"/>
      <c r="E353" s="87"/>
      <c r="F353" s="87">
        <f>F317</f>
        <v>3345000</v>
      </c>
      <c r="G353" s="87"/>
      <c r="H353" s="71"/>
      <c r="I353" s="71"/>
      <c r="J353" s="71"/>
      <c r="K353" s="71">
        <f>K317-F317</f>
        <v>-155000</v>
      </c>
      <c r="L353" s="71"/>
      <c r="M353" s="71"/>
      <c r="N353" s="71"/>
      <c r="O353" s="71"/>
      <c r="P353" s="71">
        <f>P317-K317</f>
        <v>-36000</v>
      </c>
      <c r="Q353" s="71"/>
      <c r="R353" s="71"/>
      <c r="S353" s="71"/>
      <c r="T353" s="71"/>
      <c r="U353" s="71">
        <f>U317-P317</f>
        <v>703579.20000000019</v>
      </c>
      <c r="V353" s="71"/>
      <c r="W353" s="71"/>
      <c r="X353" s="71"/>
      <c r="Y353" s="71"/>
      <c r="Z353" s="71">
        <f>Z317-U317</f>
        <v>385588.79999999981</v>
      </c>
    </row>
    <row r="354" spans="1:26" s="4" customFormat="1" ht="18" hidden="1" outlineLevel="1" thickBot="1" x14ac:dyDescent="0.4">
      <c r="A354" s="32" t="s">
        <v>137</v>
      </c>
      <c r="B354" s="44"/>
      <c r="C354" s="88"/>
      <c r="D354" s="88"/>
      <c r="E354" s="88"/>
      <c r="F354" s="88">
        <f>SUM(F351:F353)</f>
        <v>-1225590</v>
      </c>
      <c r="G354" s="88"/>
      <c r="H354" s="96"/>
      <c r="I354" s="96"/>
      <c r="J354" s="96"/>
      <c r="K354" s="88">
        <f>SUM(K351:K353)</f>
        <v>-31300049.375</v>
      </c>
      <c r="L354" s="96"/>
      <c r="M354" s="96"/>
      <c r="N354" s="96"/>
      <c r="O354" s="96"/>
      <c r="P354" s="88">
        <f>SUM(P351:P353)</f>
        <v>-26419643.671875</v>
      </c>
      <c r="Q354" s="96"/>
      <c r="R354" s="96"/>
      <c r="S354" s="96"/>
      <c r="T354" s="96"/>
      <c r="U354" s="88">
        <f>SUM(U351:U353)</f>
        <v>-28008826.238671888</v>
      </c>
      <c r="V354" s="96"/>
      <c r="W354" s="96"/>
      <c r="X354" s="96"/>
      <c r="Y354" s="96"/>
      <c r="Z354" s="88">
        <f>SUM(Z351:Z353)</f>
        <v>-30913221.799833979</v>
      </c>
    </row>
    <row r="355" spans="1:26" ht="17.25" hidden="1" outlineLevel="1" x14ac:dyDescent="0.35">
      <c r="A355" s="4" t="s">
        <v>138</v>
      </c>
      <c r="B355" s="43"/>
      <c r="C355" s="87"/>
      <c r="D355" s="87"/>
      <c r="E355" s="87"/>
      <c r="F355" s="87"/>
      <c r="G355" s="87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ht="17.25" hidden="1" outlineLevel="1" x14ac:dyDescent="0.35">
      <c r="A356" s="53" t="s">
        <v>221</v>
      </c>
      <c r="B356" s="158">
        <v>0.5</v>
      </c>
      <c r="C356" s="158"/>
      <c r="D356" s="158"/>
      <c r="E356" s="158"/>
      <c r="F356" s="158">
        <v>0.25</v>
      </c>
      <c r="G356" s="158">
        <v>0.1</v>
      </c>
      <c r="H356" s="71"/>
      <c r="I356" s="71"/>
      <c r="J356" s="71"/>
      <c r="K356" s="60"/>
      <c r="L356" s="60"/>
      <c r="M356" s="60"/>
      <c r="N356" s="60"/>
      <c r="O356" s="60"/>
      <c r="P356" s="60"/>
      <c r="Q356" s="60"/>
      <c r="R356" s="60"/>
      <c r="S356" s="60"/>
      <c r="T356" s="60"/>
      <c r="U356" s="60"/>
      <c r="V356" s="60"/>
      <c r="W356" s="60"/>
      <c r="X356" s="60"/>
      <c r="Y356" s="60"/>
      <c r="Z356" s="60"/>
    </row>
    <row r="357" spans="1:26" ht="17.25" hidden="1" outlineLevel="1" x14ac:dyDescent="0.35">
      <c r="A357" s="4" t="s">
        <v>140</v>
      </c>
      <c r="B357" s="43"/>
      <c r="C357" s="87"/>
      <c r="D357" s="87"/>
      <c r="E357" s="87"/>
      <c r="F357" s="87"/>
      <c r="G357" s="87"/>
      <c r="H357" s="71"/>
      <c r="I357" s="71"/>
      <c r="J357" s="71"/>
      <c r="K357" s="60"/>
      <c r="L357" s="60"/>
      <c r="M357" s="60"/>
      <c r="N357" s="60"/>
      <c r="O357" s="60"/>
      <c r="P357" s="60"/>
      <c r="Q357" s="60"/>
      <c r="R357" s="60"/>
      <c r="S357" s="60"/>
      <c r="T357" s="60"/>
      <c r="U357" s="60"/>
      <c r="V357" s="60"/>
      <c r="W357" s="60"/>
      <c r="X357" s="60"/>
      <c r="Y357" s="60"/>
      <c r="Z357" s="60"/>
    </row>
    <row r="358" spans="1:26" hidden="1" outlineLevel="1" x14ac:dyDescent="0.3">
      <c r="A358" s="3" t="s">
        <v>141</v>
      </c>
      <c r="B358" s="43"/>
      <c r="C358" s="87"/>
      <c r="D358" s="87"/>
      <c r="E358" s="87"/>
      <c r="F358" s="87"/>
      <c r="G358" s="87"/>
      <c r="H358" s="71"/>
      <c r="I358" s="71"/>
      <c r="J358" s="71"/>
      <c r="K358" s="60"/>
      <c r="L358" s="60"/>
      <c r="M358" s="60"/>
      <c r="N358" s="60"/>
      <c r="O358" s="60"/>
      <c r="P358" s="60"/>
      <c r="Q358" s="60"/>
      <c r="R358" s="60"/>
      <c r="S358" s="60"/>
      <c r="T358" s="60"/>
      <c r="U358" s="60"/>
      <c r="V358" s="60"/>
      <c r="W358" s="60"/>
      <c r="X358" s="60"/>
      <c r="Y358" s="60"/>
      <c r="Z358" s="60"/>
    </row>
    <row r="359" spans="1:26" hidden="1" outlineLevel="1" x14ac:dyDescent="0.3">
      <c r="A359" s="154" t="s">
        <v>220</v>
      </c>
      <c r="B359" s="43"/>
      <c r="C359" s="87"/>
      <c r="D359" s="87"/>
      <c r="E359" s="87"/>
      <c r="F359" s="87"/>
      <c r="G359" s="87"/>
      <c r="H359" s="71"/>
      <c r="I359" s="71"/>
      <c r="J359" s="71"/>
      <c r="K359" s="60">
        <v>700000</v>
      </c>
      <c r="L359" s="60"/>
      <c r="M359" s="60"/>
      <c r="N359" s="60"/>
      <c r="O359" s="60"/>
      <c r="P359" s="60">
        <v>700000</v>
      </c>
      <c r="Q359" s="60"/>
      <c r="R359" s="60"/>
      <c r="S359" s="60"/>
      <c r="T359" s="60"/>
      <c r="U359" s="60">
        <v>700000</v>
      </c>
      <c r="V359" s="60"/>
      <c r="W359" s="60"/>
      <c r="X359" s="60"/>
      <c r="Y359" s="60"/>
      <c r="Z359" s="60">
        <v>700000</v>
      </c>
    </row>
    <row r="360" spans="1:26" ht="18" hidden="1" outlineLevel="1" x14ac:dyDescent="0.35">
      <c r="A360" s="52" t="s">
        <v>106</v>
      </c>
      <c r="B360" s="43"/>
      <c r="C360" s="87"/>
      <c r="D360" s="87"/>
      <c r="E360" s="87"/>
      <c r="F360" s="87"/>
      <c r="G360" s="87"/>
      <c r="H360" s="87"/>
      <c r="I360" s="87"/>
      <c r="J360" s="87"/>
      <c r="K360" s="60">
        <v>7000000</v>
      </c>
      <c r="L360" s="60"/>
      <c r="M360" s="60"/>
      <c r="N360" s="60"/>
      <c r="O360" s="60"/>
      <c r="P360" s="60">
        <v>7000000</v>
      </c>
      <c r="Q360" s="60"/>
      <c r="R360" s="60"/>
      <c r="S360" s="60"/>
      <c r="T360" s="60"/>
      <c r="U360" s="60">
        <v>7000000</v>
      </c>
      <c r="V360" s="60"/>
      <c r="W360" s="60"/>
      <c r="X360" s="60"/>
      <c r="Y360" s="60"/>
      <c r="Z360" s="60"/>
    </row>
    <row r="361" spans="1:26" ht="18" hidden="1" outlineLevel="1" x14ac:dyDescent="0.35">
      <c r="A361" s="52" t="s">
        <v>222</v>
      </c>
      <c r="B361" s="43"/>
      <c r="C361" s="87"/>
      <c r="D361" s="87"/>
      <c r="E361" s="87"/>
      <c r="F361" s="87"/>
      <c r="G361" s="87"/>
      <c r="H361" s="87"/>
      <c r="I361" s="87"/>
      <c r="J361" s="87"/>
      <c r="K361" s="60">
        <f>IFERROR(IF(B4=2,'Source Data'!B292,'Source Data'!B291),0)</f>
        <v>32000000</v>
      </c>
      <c r="L361" s="60"/>
      <c r="M361" s="60"/>
      <c r="N361" s="60"/>
      <c r="O361" s="60"/>
      <c r="P361" s="60">
        <f>IFERROR(IF(B4=2,'Source Data'!B292,'Source Data'!B291),0)</f>
        <v>32000000</v>
      </c>
      <c r="Q361" s="60"/>
      <c r="R361" s="60"/>
      <c r="S361" s="60"/>
      <c r="T361" s="60"/>
      <c r="U361" s="60">
        <f>IFERROR(IF(B4=2,'Source Data'!B292,'Source Data'!B291),0)</f>
        <v>32000000</v>
      </c>
      <c r="V361" s="60"/>
      <c r="W361" s="60"/>
      <c r="X361" s="60"/>
      <c r="Y361" s="60"/>
      <c r="Z361" s="60"/>
    </row>
    <row r="362" spans="1:26" ht="18" hidden="1" outlineLevel="1" x14ac:dyDescent="0.35">
      <c r="A362" s="52" t="s">
        <v>107</v>
      </c>
      <c r="B362" s="43"/>
      <c r="C362" s="87"/>
      <c r="D362" s="87"/>
      <c r="E362" s="87"/>
      <c r="F362" s="87"/>
      <c r="G362" s="87"/>
      <c r="H362" s="71"/>
      <c r="I362" s="71"/>
      <c r="J362" s="71"/>
      <c r="K362" s="60">
        <v>280000000</v>
      </c>
      <c r="L362" s="60"/>
      <c r="M362" s="60"/>
      <c r="N362" s="60"/>
      <c r="O362" s="60"/>
      <c r="P362" s="60">
        <v>280000000</v>
      </c>
      <c r="Q362" s="60"/>
      <c r="R362" s="60"/>
      <c r="S362" s="60"/>
      <c r="T362" s="60"/>
      <c r="U362" s="60">
        <v>280000000</v>
      </c>
      <c r="V362" s="60"/>
      <c r="W362" s="60"/>
      <c r="X362" s="60"/>
      <c r="Y362" s="60"/>
      <c r="Z362" s="60">
        <v>280000000</v>
      </c>
    </row>
    <row r="363" spans="1:26" ht="18" hidden="1" outlineLevel="1" x14ac:dyDescent="0.35">
      <c r="A363" s="52" t="s">
        <v>108</v>
      </c>
      <c r="B363" s="43"/>
      <c r="C363" s="87"/>
      <c r="D363" s="87"/>
      <c r="E363" s="87"/>
      <c r="F363" s="87"/>
      <c r="G363" s="87"/>
      <c r="H363" s="87"/>
      <c r="I363" s="87"/>
      <c r="J363" s="87"/>
      <c r="K363" s="60">
        <v>3000000</v>
      </c>
      <c r="L363" s="60"/>
      <c r="M363" s="60"/>
      <c r="N363" s="60"/>
      <c r="O363" s="60"/>
      <c r="P363" s="60">
        <v>3000000</v>
      </c>
      <c r="Q363" s="60"/>
      <c r="R363" s="60"/>
      <c r="S363" s="60"/>
      <c r="T363" s="60"/>
      <c r="U363" s="60">
        <v>3000000</v>
      </c>
      <c r="V363" s="60"/>
      <c r="W363" s="60"/>
      <c r="X363" s="60"/>
      <c r="Y363" s="60"/>
      <c r="Z363" s="60">
        <v>3000000</v>
      </c>
    </row>
    <row r="364" spans="1:26" ht="18" hidden="1" outlineLevel="1" x14ac:dyDescent="0.35">
      <c r="A364" s="52" t="s">
        <v>105</v>
      </c>
      <c r="C364" s="68"/>
      <c r="D364" s="68"/>
      <c r="E364" s="68"/>
      <c r="F364" s="71"/>
      <c r="G364" s="71"/>
      <c r="H364" s="71"/>
      <c r="I364" s="71"/>
      <c r="J364" s="71"/>
      <c r="K364" s="60">
        <v>5000000</v>
      </c>
      <c r="L364" s="60"/>
      <c r="M364" s="60"/>
      <c r="N364" s="60"/>
      <c r="O364" s="60"/>
      <c r="P364" s="60">
        <v>5000000</v>
      </c>
      <c r="Q364" s="60"/>
      <c r="R364" s="60"/>
      <c r="S364" s="60"/>
      <c r="T364" s="60"/>
      <c r="U364" s="60">
        <v>5000000</v>
      </c>
      <c r="V364" s="60"/>
      <c r="W364" s="60"/>
      <c r="X364" s="60"/>
      <c r="Y364" s="60"/>
      <c r="Z364" s="60">
        <v>5000000</v>
      </c>
    </row>
    <row r="365" spans="1:26" hidden="1" outlineLevel="1" x14ac:dyDescent="0.3">
      <c r="A365" s="3" t="s">
        <v>142</v>
      </c>
      <c r="B365" s="43"/>
      <c r="C365" s="87"/>
      <c r="D365" s="87"/>
      <c r="E365" s="87"/>
      <c r="F365" s="87"/>
      <c r="G365" s="87"/>
      <c r="H365" s="71"/>
      <c r="I365" s="71"/>
      <c r="J365" s="71"/>
      <c r="K365" s="60"/>
      <c r="L365" s="60"/>
      <c r="M365" s="60"/>
      <c r="N365" s="60"/>
      <c r="O365" s="60"/>
      <c r="P365" s="60"/>
      <c r="Q365" s="60"/>
      <c r="R365" s="60"/>
      <c r="S365" s="60"/>
      <c r="T365" s="60"/>
      <c r="U365" s="60"/>
      <c r="V365" s="60"/>
      <c r="W365" s="60"/>
      <c r="X365" s="60"/>
      <c r="Y365" s="60"/>
      <c r="Z365" s="60"/>
    </row>
    <row r="366" spans="1:26" hidden="1" outlineLevel="1" x14ac:dyDescent="0.3">
      <c r="A366" s="154" t="s">
        <v>220</v>
      </c>
      <c r="B366" s="43"/>
      <c r="C366" s="87"/>
      <c r="D366" s="87"/>
      <c r="E366" s="87"/>
      <c r="F366" s="87">
        <v>700000</v>
      </c>
      <c r="G366" s="87"/>
      <c r="H366" s="71"/>
      <c r="I366" s="71"/>
      <c r="J366" s="71"/>
      <c r="K366" s="60"/>
      <c r="L366" s="60"/>
      <c r="M366" s="60"/>
      <c r="N366" s="60"/>
      <c r="O366" s="60"/>
      <c r="P366" s="60"/>
      <c r="Q366" s="60"/>
      <c r="R366" s="60"/>
      <c r="S366" s="60"/>
      <c r="T366" s="60"/>
      <c r="U366" s="60"/>
      <c r="V366" s="60"/>
      <c r="W366" s="60"/>
      <c r="X366" s="60"/>
      <c r="Y366" s="60"/>
      <c r="Z366" s="60"/>
    </row>
    <row r="367" spans="1:26" ht="18" hidden="1" outlineLevel="1" x14ac:dyDescent="0.35">
      <c r="A367" s="52" t="s">
        <v>106</v>
      </c>
      <c r="B367" s="43"/>
      <c r="C367" s="87"/>
      <c r="D367" s="87"/>
      <c r="E367" s="87"/>
      <c r="F367" s="87">
        <v>7000000</v>
      </c>
      <c r="G367" s="87"/>
      <c r="H367" s="71"/>
      <c r="I367" s="71"/>
      <c r="J367" s="71"/>
      <c r="K367" s="60"/>
      <c r="L367" s="60"/>
      <c r="M367" s="60"/>
      <c r="N367" s="60"/>
      <c r="O367" s="60"/>
      <c r="P367" s="60"/>
      <c r="Q367" s="60"/>
      <c r="R367" s="60"/>
      <c r="S367" s="60"/>
      <c r="T367" s="60"/>
      <c r="U367" s="60"/>
      <c r="V367" s="60"/>
      <c r="W367" s="60"/>
      <c r="X367" s="60"/>
      <c r="Y367" s="60"/>
      <c r="Z367" s="60"/>
    </row>
    <row r="368" spans="1:26" ht="18" hidden="1" outlineLevel="1" x14ac:dyDescent="0.35">
      <c r="A368" s="52" t="s">
        <v>222</v>
      </c>
      <c r="B368" s="43"/>
      <c r="C368" s="87"/>
      <c r="D368" s="87"/>
      <c r="E368" s="87"/>
      <c r="F368" s="87">
        <f>IFERROR(IF(B4=2,'Source Data'!B292,'Source Data'!B291),0)</f>
        <v>32000000</v>
      </c>
      <c r="G368" s="87"/>
      <c r="H368" s="71"/>
      <c r="I368" s="71"/>
      <c r="J368" s="71"/>
      <c r="K368" s="60"/>
      <c r="L368" s="60"/>
      <c r="M368" s="60"/>
      <c r="N368" s="60"/>
      <c r="O368" s="60"/>
      <c r="P368" s="60"/>
      <c r="Q368" s="60"/>
      <c r="R368" s="60"/>
      <c r="S368" s="60"/>
      <c r="T368" s="60"/>
      <c r="U368" s="60">
        <f>'Source Data'!B288*3</f>
        <v>24000000</v>
      </c>
      <c r="V368" s="60"/>
      <c r="W368" s="60"/>
      <c r="X368" s="60"/>
      <c r="Y368" s="60"/>
      <c r="Z368" s="60"/>
    </row>
    <row r="369" spans="1:26" ht="18" hidden="1" outlineLevel="1" x14ac:dyDescent="0.35">
      <c r="A369" s="52" t="s">
        <v>107</v>
      </c>
      <c r="B369" s="43"/>
      <c r="C369" s="87"/>
      <c r="D369" s="87"/>
      <c r="E369" s="87"/>
      <c r="F369" s="87">
        <v>280000000</v>
      </c>
      <c r="G369" s="87"/>
      <c r="H369" s="71"/>
      <c r="I369" s="71"/>
      <c r="J369" s="71"/>
      <c r="K369" s="60"/>
      <c r="L369" s="60"/>
      <c r="M369" s="60"/>
      <c r="N369" s="60"/>
      <c r="O369" s="60"/>
      <c r="P369" s="60"/>
      <c r="Q369" s="60"/>
      <c r="R369" s="60"/>
      <c r="S369" s="60"/>
      <c r="T369" s="60"/>
      <c r="U369" s="60"/>
      <c r="V369" s="60"/>
      <c r="W369" s="60"/>
      <c r="X369" s="60"/>
      <c r="Y369" s="60"/>
      <c r="Z369" s="60"/>
    </row>
    <row r="370" spans="1:26" ht="18" hidden="1" outlineLevel="1" x14ac:dyDescent="0.35">
      <c r="A370" s="52" t="s">
        <v>108</v>
      </c>
      <c r="B370" s="43"/>
      <c r="C370" s="87"/>
      <c r="D370" s="87"/>
      <c r="E370" s="87"/>
      <c r="F370" s="87">
        <v>3000000</v>
      </c>
      <c r="G370" s="87"/>
      <c r="H370" s="71"/>
      <c r="I370" s="71"/>
      <c r="J370" s="71"/>
      <c r="K370" s="60"/>
      <c r="L370" s="60"/>
      <c r="M370" s="60"/>
      <c r="N370" s="60"/>
      <c r="O370" s="60"/>
      <c r="P370" s="60"/>
      <c r="Q370" s="60"/>
      <c r="R370" s="60"/>
      <c r="S370" s="60"/>
      <c r="T370" s="60"/>
      <c r="U370" s="60"/>
      <c r="V370" s="60"/>
      <c r="W370" s="60"/>
      <c r="X370" s="60"/>
      <c r="Y370" s="60"/>
      <c r="Z370" s="60"/>
    </row>
    <row r="371" spans="1:26" ht="18" hidden="1" outlineLevel="1" x14ac:dyDescent="0.35">
      <c r="A371" s="52" t="s">
        <v>105</v>
      </c>
      <c r="B371" s="43"/>
      <c r="C371" s="87"/>
      <c r="D371" s="87"/>
      <c r="E371" s="87"/>
      <c r="F371" s="71">
        <v>5000000</v>
      </c>
      <c r="G371" s="87"/>
      <c r="H371" s="71"/>
      <c r="I371" s="71"/>
      <c r="J371" s="71"/>
      <c r="K371" s="60"/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</row>
    <row r="372" spans="1:26" hidden="1" outlineLevel="1" x14ac:dyDescent="0.3">
      <c r="A372" s="3" t="s">
        <v>143</v>
      </c>
      <c r="B372" s="43"/>
      <c r="C372" s="87"/>
      <c r="D372" s="87"/>
      <c r="E372" s="87"/>
      <c r="F372" s="87"/>
      <c r="G372" s="87"/>
      <c r="H372" s="71"/>
      <c r="I372" s="71"/>
      <c r="J372" s="71"/>
      <c r="K372" s="60"/>
      <c r="L372" s="60"/>
      <c r="M372" s="60"/>
      <c r="N372" s="60"/>
      <c r="O372" s="60"/>
      <c r="P372" s="60"/>
      <c r="Q372" s="60"/>
      <c r="R372" s="60"/>
      <c r="S372" s="60"/>
      <c r="T372" s="60"/>
      <c r="U372" s="60"/>
      <c r="V372" s="60"/>
      <c r="W372" s="60"/>
      <c r="X372" s="60"/>
      <c r="Y372" s="60"/>
      <c r="Z372" s="60"/>
    </row>
    <row r="373" spans="1:26" hidden="1" outlineLevel="1" x14ac:dyDescent="0.3">
      <c r="A373" s="154" t="s">
        <v>220</v>
      </c>
      <c r="B373" s="43"/>
      <c r="C373" s="87"/>
      <c r="D373" s="87"/>
      <c r="E373" s="87"/>
      <c r="F373" s="87"/>
      <c r="G373" s="87"/>
      <c r="H373" s="71"/>
      <c r="I373" s="71"/>
      <c r="J373" s="71"/>
      <c r="K373" s="60"/>
      <c r="L373" s="60"/>
      <c r="M373" s="60"/>
      <c r="N373" s="60"/>
      <c r="O373" s="60"/>
      <c r="P373" s="60"/>
      <c r="Q373" s="60"/>
      <c r="R373" s="60"/>
      <c r="S373" s="60"/>
      <c r="T373" s="60"/>
      <c r="U373" s="60"/>
      <c r="V373" s="60"/>
      <c r="W373" s="60"/>
      <c r="X373" s="60"/>
      <c r="Y373" s="60"/>
      <c r="Z373" s="60"/>
    </row>
    <row r="374" spans="1:26" ht="18" hidden="1" outlineLevel="1" x14ac:dyDescent="0.35">
      <c r="A374" s="52" t="s">
        <v>106</v>
      </c>
      <c r="B374" s="43"/>
      <c r="C374" s="87"/>
      <c r="D374" s="87"/>
      <c r="E374" s="87"/>
      <c r="F374" s="87"/>
      <c r="G374" s="87"/>
      <c r="H374" s="71"/>
      <c r="I374" s="71"/>
      <c r="J374" s="71"/>
      <c r="K374" s="60"/>
      <c r="L374" s="60"/>
      <c r="M374" s="60"/>
      <c r="N374" s="60"/>
      <c r="O374" s="60"/>
      <c r="P374" s="60"/>
      <c r="Q374" s="60"/>
      <c r="R374" s="60"/>
      <c r="S374" s="60"/>
      <c r="T374" s="60"/>
      <c r="U374" s="60"/>
      <c r="V374" s="60"/>
      <c r="W374" s="60"/>
      <c r="X374" s="60"/>
      <c r="Y374" s="60"/>
      <c r="Z374" s="60"/>
    </row>
    <row r="375" spans="1:26" ht="18" hidden="1" outlineLevel="1" x14ac:dyDescent="0.35">
      <c r="A375" s="52" t="s">
        <v>222</v>
      </c>
      <c r="B375" s="43"/>
      <c r="C375" s="87"/>
      <c r="D375" s="87"/>
      <c r="E375" s="87"/>
      <c r="F375" s="87"/>
      <c r="G375" s="87"/>
      <c r="H375" s="71"/>
      <c r="I375" s="71"/>
      <c r="J375" s="71"/>
      <c r="K375" s="60"/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</row>
    <row r="376" spans="1:26" ht="18" hidden="1" outlineLevel="1" x14ac:dyDescent="0.35">
      <c r="A376" s="52" t="s">
        <v>107</v>
      </c>
      <c r="B376" s="43"/>
      <c r="C376" s="87"/>
      <c r="D376" s="87"/>
      <c r="E376" s="87"/>
      <c r="F376" s="87"/>
      <c r="G376" s="87"/>
      <c r="H376" s="71"/>
      <c r="I376" s="71"/>
      <c r="J376" s="71"/>
      <c r="K376" s="60"/>
      <c r="L376" s="60"/>
      <c r="M376" s="60"/>
      <c r="N376" s="60"/>
      <c r="O376" s="60"/>
      <c r="P376" s="60"/>
      <c r="Q376" s="60"/>
      <c r="R376" s="60"/>
      <c r="S376" s="60"/>
      <c r="T376" s="60"/>
      <c r="U376" s="60"/>
      <c r="V376" s="60"/>
      <c r="W376" s="60"/>
      <c r="X376" s="60"/>
      <c r="Y376" s="60"/>
      <c r="Z376" s="60"/>
    </row>
    <row r="377" spans="1:26" ht="18" hidden="1" outlineLevel="1" x14ac:dyDescent="0.35">
      <c r="A377" s="52" t="s">
        <v>108</v>
      </c>
      <c r="B377" s="43"/>
      <c r="C377" s="87"/>
      <c r="D377" s="87"/>
      <c r="E377" s="87"/>
      <c r="F377" s="87"/>
      <c r="G377" s="87"/>
      <c r="H377" s="71"/>
      <c r="I377" s="71"/>
      <c r="J377" s="71"/>
      <c r="K377" s="60"/>
      <c r="L377" s="60"/>
      <c r="M377" s="60"/>
      <c r="N377" s="60"/>
      <c r="O377" s="60"/>
      <c r="P377" s="60"/>
      <c r="Q377" s="60"/>
      <c r="R377" s="60"/>
      <c r="S377" s="60"/>
      <c r="T377" s="60"/>
      <c r="U377" s="60"/>
      <c r="V377" s="60"/>
      <c r="W377" s="60"/>
      <c r="X377" s="60"/>
      <c r="Y377" s="60"/>
      <c r="Z377" s="60"/>
    </row>
    <row r="378" spans="1:26" ht="18" hidden="1" outlineLevel="1" x14ac:dyDescent="0.35">
      <c r="A378" s="52" t="s">
        <v>105</v>
      </c>
      <c r="B378" s="43"/>
      <c r="C378" s="87"/>
      <c r="D378" s="87"/>
      <c r="E378" s="87"/>
      <c r="F378" s="87"/>
      <c r="G378" s="87"/>
      <c r="H378" s="71"/>
      <c r="I378" s="71"/>
      <c r="J378" s="71"/>
      <c r="K378" s="60"/>
      <c r="L378" s="60"/>
      <c r="M378" s="60"/>
      <c r="N378" s="60"/>
      <c r="O378" s="60"/>
      <c r="P378" s="60"/>
      <c r="Q378" s="60"/>
      <c r="R378" s="60"/>
      <c r="S378" s="60"/>
      <c r="T378" s="60"/>
      <c r="U378" s="60"/>
      <c r="V378" s="60"/>
      <c r="W378" s="60"/>
      <c r="X378" s="60"/>
      <c r="Y378" s="60"/>
      <c r="Z378" s="60"/>
    </row>
    <row r="379" spans="1:26" hidden="1" outlineLevel="1" x14ac:dyDescent="0.3">
      <c r="A379" s="3" t="s">
        <v>144</v>
      </c>
      <c r="B379" s="43"/>
      <c r="C379" s="87"/>
      <c r="D379" s="87"/>
      <c r="E379" s="87"/>
      <c r="F379" s="87"/>
      <c r="G379" s="87"/>
      <c r="H379" s="71"/>
      <c r="I379" s="71"/>
      <c r="J379" s="71"/>
      <c r="K379" s="60"/>
      <c r="L379" s="60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</row>
    <row r="380" spans="1:26" hidden="1" outlineLevel="1" x14ac:dyDescent="0.3">
      <c r="A380" s="154" t="s">
        <v>220</v>
      </c>
      <c r="B380" s="43"/>
      <c r="C380" s="87"/>
      <c r="D380" s="87"/>
      <c r="E380" s="87"/>
      <c r="F380" s="87">
        <f>(SUM(F359,F366)-F373)*$F$356</f>
        <v>175000</v>
      </c>
      <c r="G380" s="87"/>
      <c r="H380" s="71"/>
      <c r="I380" s="71"/>
      <c r="J380" s="71"/>
      <c r="K380" s="87">
        <f>(SUM(K359,K366)-K373)*$F$356</f>
        <v>175000</v>
      </c>
      <c r="L380" s="60"/>
      <c r="M380" s="60"/>
      <c r="N380" s="60"/>
      <c r="O380" s="60"/>
      <c r="P380" s="87">
        <f>(SUM(P359,P366)-P373)*$F$356</f>
        <v>175000</v>
      </c>
      <c r="Q380" s="60"/>
      <c r="R380" s="60"/>
      <c r="S380" s="60"/>
      <c r="T380" s="60"/>
      <c r="U380" s="87">
        <f>(SUM(U359,U366)-U373)*$F$356</f>
        <v>175000</v>
      </c>
      <c r="V380" s="60"/>
      <c r="W380" s="60"/>
      <c r="X380" s="60"/>
      <c r="Y380" s="60"/>
      <c r="Z380" s="87"/>
    </row>
    <row r="381" spans="1:26" ht="18" hidden="1" outlineLevel="1" x14ac:dyDescent="0.35">
      <c r="A381" s="52" t="s">
        <v>106</v>
      </c>
      <c r="B381" s="43"/>
      <c r="C381" s="87"/>
      <c r="D381" s="87"/>
      <c r="E381" s="87"/>
      <c r="F381" s="87">
        <f>(SUM(F360,F367)-F374)*$F$356</f>
        <v>1750000</v>
      </c>
      <c r="G381" s="87"/>
      <c r="H381" s="87"/>
      <c r="I381" s="87"/>
      <c r="J381" s="87"/>
      <c r="K381" s="87">
        <f>(SUM(K360,K367)-K374)*$F$356</f>
        <v>1750000</v>
      </c>
      <c r="L381" s="60"/>
      <c r="M381" s="60"/>
      <c r="N381" s="60"/>
      <c r="O381" s="60"/>
      <c r="P381" s="87">
        <f>(SUM(P360,P367)-P374)*$F$356</f>
        <v>1750000</v>
      </c>
      <c r="Q381" s="60"/>
      <c r="R381" s="60"/>
      <c r="S381" s="60"/>
      <c r="T381" s="60"/>
      <c r="U381" s="87">
        <f>(SUM(U360,U367)-U374)*$F$356</f>
        <v>1750000</v>
      </c>
      <c r="V381" s="60"/>
      <c r="W381" s="60"/>
      <c r="X381" s="60"/>
      <c r="Y381" s="60"/>
      <c r="Z381" s="87">
        <f>(SUM(Z360,Z367)-Z374)*$F$356</f>
        <v>0</v>
      </c>
    </row>
    <row r="382" spans="1:26" ht="18" hidden="1" outlineLevel="1" x14ac:dyDescent="0.35">
      <c r="A382" s="52" t="s">
        <v>222</v>
      </c>
      <c r="B382" s="43"/>
      <c r="C382" s="87"/>
      <c r="D382" s="87"/>
      <c r="E382" s="87"/>
      <c r="F382" s="87">
        <f>(SUM(F361,F368)-F375)*$F$356</f>
        <v>8000000</v>
      </c>
      <c r="G382" s="87"/>
      <c r="H382" s="87"/>
      <c r="I382" s="87"/>
      <c r="J382" s="87"/>
      <c r="K382" s="87">
        <f>(SUM(K361,K368)-K375)*$F$356</f>
        <v>8000000</v>
      </c>
      <c r="L382" s="60"/>
      <c r="M382" s="60"/>
      <c r="N382" s="60"/>
      <c r="O382" s="60"/>
      <c r="P382" s="87">
        <f>(SUM(P361,P368)-P375)*$F$356</f>
        <v>8000000</v>
      </c>
      <c r="Q382" s="60"/>
      <c r="R382" s="60"/>
      <c r="S382" s="60"/>
      <c r="T382" s="60"/>
      <c r="U382" s="87">
        <f>(SUM(U361,U368)-U375)*$F$356</f>
        <v>14000000</v>
      </c>
      <c r="V382" s="60"/>
      <c r="W382" s="60"/>
      <c r="X382" s="60"/>
      <c r="Y382" s="60"/>
      <c r="Z382" s="87">
        <f>(SUM(Z361,Z368)-Z375)*$F$356</f>
        <v>0</v>
      </c>
    </row>
    <row r="383" spans="1:26" ht="18" hidden="1" outlineLevel="1" x14ac:dyDescent="0.35">
      <c r="A383" s="52" t="s">
        <v>107</v>
      </c>
      <c r="B383" s="43"/>
      <c r="C383" s="87"/>
      <c r="D383" s="87"/>
      <c r="E383" s="87"/>
      <c r="F383" s="87">
        <f>(SUM(F362,F369)-F376)*$G$356</f>
        <v>28000000</v>
      </c>
      <c r="G383" s="87"/>
      <c r="H383" s="87"/>
      <c r="I383" s="87"/>
      <c r="J383" s="87"/>
      <c r="K383" s="87">
        <f>(SUM(K362,K369)-K376)*$G$356</f>
        <v>28000000</v>
      </c>
      <c r="L383" s="60"/>
      <c r="M383" s="60"/>
      <c r="N383" s="60"/>
      <c r="O383" s="60"/>
      <c r="P383" s="87">
        <f>(SUM(P362,P369)-P376)*$G$356</f>
        <v>28000000</v>
      </c>
      <c r="Q383" s="60"/>
      <c r="R383" s="60"/>
      <c r="S383" s="60"/>
      <c r="T383" s="60"/>
      <c r="U383" s="87">
        <f>(SUM(U362,U369)-U376)*$G$356</f>
        <v>28000000</v>
      </c>
      <c r="V383" s="60"/>
      <c r="W383" s="60"/>
      <c r="X383" s="60"/>
      <c r="Y383" s="60"/>
      <c r="Z383" s="87">
        <f>(SUM(Z362,Z369)-Z376)*$G$356</f>
        <v>28000000</v>
      </c>
    </row>
    <row r="384" spans="1:26" ht="18" hidden="1" outlineLevel="1" x14ac:dyDescent="0.35">
      <c r="A384" s="52" t="s">
        <v>108</v>
      </c>
      <c r="B384" s="43"/>
      <c r="C384" s="87"/>
      <c r="D384" s="87"/>
      <c r="E384" s="87"/>
      <c r="F384" s="87">
        <f>(SUM(F363,F370)-F377)*$G$356</f>
        <v>300000</v>
      </c>
      <c r="G384" s="87"/>
      <c r="H384" s="87"/>
      <c r="I384" s="87"/>
      <c r="J384" s="87"/>
      <c r="K384" s="87">
        <f>(SUM(K363,K370)-K377)*$G$356</f>
        <v>300000</v>
      </c>
      <c r="L384" s="60"/>
      <c r="M384" s="60"/>
      <c r="N384" s="60"/>
      <c r="O384" s="60"/>
      <c r="P384" s="87">
        <f>(SUM(P363,P370)-P377)*$G$356</f>
        <v>300000</v>
      </c>
      <c r="Q384" s="60"/>
      <c r="R384" s="60"/>
      <c r="S384" s="60"/>
      <c r="T384" s="60"/>
      <c r="U384" s="87">
        <f>(SUM(U363,U370)-U377)*$G$356</f>
        <v>300000</v>
      </c>
      <c r="V384" s="60"/>
      <c r="W384" s="60"/>
      <c r="X384" s="60"/>
      <c r="Y384" s="60"/>
      <c r="Z384" s="87">
        <f>(SUM(Z363,Z370)-Z377)*$G$356</f>
        <v>300000</v>
      </c>
    </row>
    <row r="385" spans="1:26" ht="18" hidden="1" outlineLevel="1" x14ac:dyDescent="0.35">
      <c r="A385" s="52" t="s">
        <v>105</v>
      </c>
      <c r="B385" s="43"/>
      <c r="C385" s="87"/>
      <c r="D385" s="87"/>
      <c r="E385" s="87"/>
      <c r="F385" s="87">
        <f>(SUM(F364,F371)-F378)*$G$356</f>
        <v>500000</v>
      </c>
      <c r="G385" s="87"/>
      <c r="H385" s="87"/>
      <c r="I385" s="87"/>
      <c r="J385" s="87"/>
      <c r="K385" s="87">
        <f>(SUM(K364,K371)-K378)*$G$356</f>
        <v>500000</v>
      </c>
      <c r="L385" s="60"/>
      <c r="M385" s="60"/>
      <c r="N385" s="60"/>
      <c r="O385" s="60"/>
      <c r="P385" s="87">
        <f>(SUM(P364,P371)-P378)*$G$356</f>
        <v>500000</v>
      </c>
      <c r="Q385" s="60"/>
      <c r="R385" s="60"/>
      <c r="S385" s="60"/>
      <c r="T385" s="60"/>
      <c r="U385" s="87">
        <f>(SUM(U364,U371)-U378)*$G$356</f>
        <v>500000</v>
      </c>
      <c r="V385" s="60"/>
      <c r="W385" s="60"/>
      <c r="X385" s="60"/>
      <c r="Y385" s="60"/>
      <c r="Z385" s="87">
        <f>(SUM(Z364,Z371)-Z378)*$G$356</f>
        <v>500000</v>
      </c>
    </row>
    <row r="386" spans="1:26" s="4" customFormat="1" ht="18" hidden="1" outlineLevel="1" thickBot="1" x14ac:dyDescent="0.4">
      <c r="A386" s="16" t="s">
        <v>145</v>
      </c>
      <c r="B386" s="45"/>
      <c r="C386" s="95"/>
      <c r="D386" s="95"/>
      <c r="E386" s="95"/>
      <c r="F386" s="95">
        <f>SUM(F359:F364)+SUM(F366:F371)-SUM(F373:F378)-SUM(F380:F385)</f>
        <v>288975000</v>
      </c>
      <c r="G386" s="95"/>
      <c r="H386" s="95"/>
      <c r="I386" s="95"/>
      <c r="J386" s="95"/>
      <c r="K386" s="95">
        <f>SUM(K359:K364)+SUM(K366:K371)-SUM(K373:K378)-SUM(K380:K385)</f>
        <v>288975000</v>
      </c>
      <c r="L386" s="95"/>
      <c r="M386" s="95"/>
      <c r="N386" s="95"/>
      <c r="O386" s="95"/>
      <c r="P386" s="95">
        <f>SUM(P359:P364)+SUM(P366:P371)-SUM(P373:P378)-SUM(P380:P385)</f>
        <v>288975000</v>
      </c>
      <c r="Q386" s="95"/>
      <c r="R386" s="95"/>
      <c r="S386" s="95"/>
      <c r="T386" s="95"/>
      <c r="U386" s="95">
        <f>SUM(U359:U364)+SUM(U366:U371)-SUM(U373:U378)-SUM(U380:U385)</f>
        <v>306975000</v>
      </c>
      <c r="V386" s="95"/>
      <c r="W386" s="95"/>
      <c r="X386" s="95"/>
      <c r="Y386" s="95"/>
      <c r="Z386" s="95">
        <f>SUM(Z359:Z364)+SUM(Z366:Z371)-SUM(Z373:Z378)-SUM(Z380:Z385)</f>
        <v>259900000</v>
      </c>
    </row>
    <row r="387" spans="1:26" ht="17.25" hidden="1" outlineLevel="1" thickTop="1" x14ac:dyDescent="0.3">
      <c r="A387" s="3" t="s">
        <v>148</v>
      </c>
      <c r="B387" s="43"/>
      <c r="C387" s="43"/>
      <c r="D387" s="43"/>
      <c r="E387" s="43"/>
      <c r="F387" s="43"/>
      <c r="G387" s="43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hidden="1" outlineLevel="1" x14ac:dyDescent="0.3">
      <c r="B388" s="43"/>
      <c r="C388" s="43"/>
      <c r="D388" s="43"/>
      <c r="E388" s="43"/>
      <c r="F388" s="43"/>
      <c r="G388" s="43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ht="17.25" hidden="1" outlineLevel="1" x14ac:dyDescent="0.35">
      <c r="A389" s="4" t="s">
        <v>216</v>
      </c>
      <c r="B389" s="43"/>
      <c r="C389" s="43"/>
      <c r="D389" s="43"/>
      <c r="E389" s="43"/>
      <c r="F389" s="56">
        <v>100000</v>
      </c>
      <c r="G389" s="43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hidden="1" outlineLevel="1" x14ac:dyDescent="0.3">
      <c r="A390" s="3" t="s">
        <v>217</v>
      </c>
      <c r="B390" s="43"/>
      <c r="C390" s="43"/>
      <c r="D390" s="43"/>
      <c r="E390" s="43"/>
      <c r="F390" s="56">
        <f>F265*0.04</f>
        <v>4570590</v>
      </c>
      <c r="G390" s="43"/>
      <c r="I390" s="6"/>
      <c r="J390" s="6"/>
      <c r="K390" s="156">
        <f>K265*0.1</f>
        <v>35715639.375</v>
      </c>
      <c r="L390" s="157"/>
      <c r="M390" s="157"/>
      <c r="N390" s="157"/>
      <c r="O390" s="157"/>
      <c r="P390" s="156">
        <f>P265*0.1</f>
        <v>62099283.046875</v>
      </c>
      <c r="Q390" s="157"/>
      <c r="R390" s="157"/>
      <c r="S390" s="157"/>
      <c r="T390" s="157"/>
      <c r="U390" s="156">
        <f>U265*0.1</f>
        <v>90811688.485546887</v>
      </c>
      <c r="V390" s="157"/>
      <c r="W390" s="157"/>
      <c r="X390" s="157"/>
      <c r="Y390" s="157"/>
      <c r="Z390" s="156">
        <f>Z265*0.1</f>
        <v>122110499.08538087</v>
      </c>
    </row>
    <row r="391" spans="1:26" hidden="1" outlineLevel="1" x14ac:dyDescent="0.3">
      <c r="A391" s="39" t="s">
        <v>218</v>
      </c>
      <c r="B391" s="43"/>
      <c r="C391" s="43"/>
      <c r="D391" s="43"/>
      <c r="E391" s="43"/>
      <c r="F391" s="56">
        <f>F269*0.3</f>
        <v>3345000</v>
      </c>
      <c r="G391" s="43"/>
      <c r="I391" s="6"/>
      <c r="J391" s="6"/>
      <c r="K391" s="156">
        <f>K269*0.2</f>
        <v>3190000</v>
      </c>
      <c r="L391" s="157"/>
      <c r="M391" s="157"/>
      <c r="N391" s="157"/>
      <c r="O391" s="157"/>
      <c r="P391" s="156">
        <f>P269*0.2</f>
        <v>3154000</v>
      </c>
      <c r="Q391" s="157"/>
      <c r="R391" s="157"/>
      <c r="S391" s="157"/>
      <c r="T391" s="157"/>
      <c r="U391" s="156">
        <f>U269*0.2</f>
        <v>3857579.2</v>
      </c>
      <c r="V391" s="157"/>
      <c r="W391" s="157"/>
      <c r="X391" s="157"/>
      <c r="Y391" s="157"/>
      <c r="Z391" s="156">
        <f>Z269*0.2</f>
        <v>4243168</v>
      </c>
    </row>
    <row r="392" spans="1:26" hidden="1" outlineLevel="1" x14ac:dyDescent="0.3">
      <c r="A392" s="39"/>
      <c r="B392" s="43"/>
      <c r="C392" s="43"/>
      <c r="D392" s="43"/>
      <c r="E392" s="43"/>
      <c r="F392" s="43"/>
      <c r="G392" s="43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ht="17.25" x14ac:dyDescent="0.35">
      <c r="A393" s="4"/>
      <c r="B393" s="43"/>
      <c r="C393" s="43"/>
      <c r="D393" s="43"/>
      <c r="E393" s="43"/>
      <c r="F393" s="43"/>
      <c r="G393" s="43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 ht="17.25" collapsed="1" x14ac:dyDescent="0.35">
      <c r="A394" s="1" t="s">
        <v>201</v>
      </c>
      <c r="B394" s="2"/>
      <c r="C394" s="74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</row>
    <row r="395" spans="1:26" hidden="1" outlineLevel="1" x14ac:dyDescent="0.3">
      <c r="B395" s="43"/>
      <c r="C395" s="43"/>
      <c r="D395" s="43"/>
      <c r="E395" s="43"/>
      <c r="F395" s="43"/>
      <c r="G395" s="43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ht="17.25" hidden="1" outlineLevel="1" x14ac:dyDescent="0.35">
      <c r="A396" s="110" t="s">
        <v>164</v>
      </c>
      <c r="B396" s="43"/>
      <c r="C396" s="43"/>
      <c r="D396" s="43"/>
      <c r="E396" s="43"/>
      <c r="F396" s="43"/>
      <c r="G396" s="43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 hidden="1" outlineLevel="1" x14ac:dyDescent="0.3">
      <c r="A397" s="39" t="s">
        <v>165</v>
      </c>
      <c r="B397" s="182">
        <v>0.3</v>
      </c>
      <c r="C397" s="43"/>
      <c r="D397" s="43"/>
      <c r="E397" s="43"/>
      <c r="F397" s="43"/>
      <c r="G397" s="43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 hidden="1" outlineLevel="1" x14ac:dyDescent="0.3">
      <c r="A398" s="39" t="s">
        <v>166</v>
      </c>
      <c r="B398" s="183">
        <f>E409</f>
        <v>0.11571996817820207</v>
      </c>
      <c r="C398" s="43"/>
      <c r="D398" s="43"/>
      <c r="E398" s="43"/>
      <c r="F398" s="43"/>
      <c r="G398" s="43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 hidden="1" outlineLevel="1" x14ac:dyDescent="0.3">
      <c r="A399" s="39" t="s">
        <v>167</v>
      </c>
      <c r="B399" s="184">
        <f ca="1">B415</f>
        <v>45291</v>
      </c>
      <c r="C399" s="43"/>
      <c r="D399" s="43"/>
      <c r="E399" s="43"/>
      <c r="F399" s="43"/>
      <c r="G399" s="43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 hidden="1" outlineLevel="1" x14ac:dyDescent="0.3">
      <c r="A400" s="39" t="s">
        <v>168</v>
      </c>
      <c r="B400" s="184">
        <f ca="1">C415</f>
        <v>45657</v>
      </c>
      <c r="C400" s="43"/>
      <c r="D400" s="43"/>
      <c r="E400" s="43"/>
      <c r="F400" s="43"/>
      <c r="G400" s="43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 hidden="1" outlineLevel="1" x14ac:dyDescent="0.3">
      <c r="A401" s="39" t="s">
        <v>169</v>
      </c>
      <c r="B401" s="157">
        <v>10</v>
      </c>
      <c r="C401" s="43"/>
      <c r="D401" s="43"/>
      <c r="E401" s="43"/>
      <c r="F401" s="43"/>
      <c r="G401" s="43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 hidden="1" outlineLevel="1" x14ac:dyDescent="0.3">
      <c r="A402" s="39" t="s">
        <v>170</v>
      </c>
      <c r="B402" s="185">
        <v>15000000</v>
      </c>
      <c r="C402" s="43"/>
      <c r="D402" s="43"/>
      <c r="E402" s="43"/>
      <c r="F402" s="43"/>
      <c r="G402" s="43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 ht="18.75" hidden="1" outlineLevel="1" x14ac:dyDescent="0.35">
      <c r="A403" s="39" t="s">
        <v>187</v>
      </c>
      <c r="B403" s="182">
        <f>IFERROR(_xlfn.IFNA(IF(B4=1,0.05-0.015,IF(B4=2,0.075-0.015,0.025-0.005)),""),"")</f>
        <v>0.06</v>
      </c>
      <c r="C403" s="214" t="s">
        <v>240</v>
      </c>
      <c r="D403" s="214"/>
      <c r="E403" s="214"/>
      <c r="F403" s="214"/>
      <c r="G403" s="214"/>
      <c r="H403" s="187"/>
      <c r="I403" s="187"/>
      <c r="J403" s="187"/>
      <c r="K403" s="187"/>
      <c r="L403" s="187"/>
      <c r="M403" s="187"/>
      <c r="N403" s="187"/>
      <c r="O403" s="187"/>
      <c r="P403" s="187"/>
      <c r="Q403" s="187"/>
      <c r="R403" s="187"/>
      <c r="S403" s="187"/>
      <c r="T403" s="187"/>
      <c r="U403" s="187"/>
      <c r="V403" s="6"/>
      <c r="W403" s="6"/>
      <c r="X403" s="6"/>
      <c r="Y403" s="6"/>
      <c r="Z403" s="6"/>
    </row>
    <row r="404" spans="1:26" ht="18.75" hidden="1" outlineLevel="1" x14ac:dyDescent="0.35">
      <c r="A404" s="39"/>
      <c r="B404" s="186"/>
      <c r="C404" s="43"/>
      <c r="D404" s="43"/>
      <c r="E404" s="43"/>
      <c r="F404" s="213"/>
      <c r="G404" s="213"/>
      <c r="H404" s="213"/>
      <c r="I404" s="213"/>
      <c r="J404" s="213"/>
      <c r="K404" s="213"/>
      <c r="L404" s="213"/>
      <c r="M404" s="213"/>
      <c r="N404" s="213"/>
      <c r="O404" s="213"/>
      <c r="P404" s="213"/>
      <c r="Q404" s="213"/>
      <c r="R404" s="213"/>
      <c r="S404" s="213"/>
      <c r="T404" s="213"/>
      <c r="U404" s="213"/>
      <c r="V404" s="6"/>
      <c r="W404" s="6"/>
      <c r="X404" s="6"/>
      <c r="Y404" s="6"/>
      <c r="Z404" s="6"/>
    </row>
    <row r="405" spans="1:26" hidden="1" outlineLevel="1" x14ac:dyDescent="0.3">
      <c r="A405" s="39"/>
      <c r="B405" s="111"/>
      <c r="C405" s="43"/>
      <c r="D405" s="43"/>
      <c r="E405" s="43"/>
      <c r="F405" s="43"/>
      <c r="G405" s="43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 hidden="1" outlineLevel="1" x14ac:dyDescent="0.3">
      <c r="B406" s="43"/>
      <c r="C406" s="43"/>
      <c r="D406" s="43"/>
      <c r="E406" s="43"/>
      <c r="F406" s="43"/>
      <c r="G406" s="43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 hidden="1" outlineLevel="1" x14ac:dyDescent="0.3">
      <c r="A407" s="39" t="s">
        <v>171</v>
      </c>
      <c r="B407" s="43"/>
      <c r="C407" s="43"/>
      <c r="D407" s="43"/>
      <c r="E407" s="43"/>
      <c r="F407" s="43"/>
      <c r="G407" s="43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 ht="17.25" hidden="1" outlineLevel="1" x14ac:dyDescent="0.35">
      <c r="A408" s="123" t="s">
        <v>190</v>
      </c>
      <c r="B408" s="124" t="s">
        <v>192</v>
      </c>
      <c r="C408" s="124" t="s">
        <v>193</v>
      </c>
      <c r="D408" s="124" t="s">
        <v>194</v>
      </c>
      <c r="E408" s="124" t="s">
        <v>171</v>
      </c>
      <c r="F408" s="43"/>
      <c r="G408" s="43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 ht="17.25" hidden="1" outlineLevel="1" x14ac:dyDescent="0.35">
      <c r="A409" s="126" t="s">
        <v>191</v>
      </c>
      <c r="B409" s="125">
        <f>F303+F304</f>
        <v>65100000</v>
      </c>
      <c r="C409" s="128">
        <f>B409/$B$411</f>
        <v>0.17263325377883851</v>
      </c>
      <c r="D409" s="128">
        <v>0.1</v>
      </c>
      <c r="E409" s="131">
        <f>IFERROR(SUMPRODUCT(C409:C410,D409:D410),"")</f>
        <v>0.11571996817820207</v>
      </c>
      <c r="F409" s="43"/>
      <c r="G409" s="43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 ht="17.25" hidden="1" outlineLevel="1" x14ac:dyDescent="0.35">
      <c r="A410" s="126" t="s">
        <v>215</v>
      </c>
      <c r="B410" s="125">
        <f>'Source Data'!B283</f>
        <v>312000000</v>
      </c>
      <c r="C410" s="128">
        <f>B410/$B$411</f>
        <v>0.82736674622116146</v>
      </c>
      <c r="D410" s="128">
        <v>0.11899999999999999</v>
      </c>
      <c r="E410" s="51"/>
      <c r="F410" s="43"/>
      <c r="G410" s="43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 ht="18" hidden="1" outlineLevel="1" thickBot="1" x14ac:dyDescent="0.4">
      <c r="A411" s="39"/>
      <c r="B411" s="127">
        <f>SUM(B409:B410)</f>
        <v>377100000</v>
      </c>
      <c r="C411" s="127">
        <f>SUM(C409:C410)</f>
        <v>1</v>
      </c>
      <c r="D411" s="130">
        <f>SUM(D409:D410)</f>
        <v>0.219</v>
      </c>
      <c r="E411" s="129"/>
      <c r="F411" s="43"/>
      <c r="G411" s="43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 hidden="1" outlineLevel="1" x14ac:dyDescent="0.3">
      <c r="A412" s="39"/>
      <c r="B412" s="43"/>
      <c r="C412" s="43"/>
      <c r="D412" s="43"/>
      <c r="E412" s="43"/>
      <c r="F412" s="43"/>
      <c r="G412" s="43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 hidden="1" outlineLevel="1" x14ac:dyDescent="0.3">
      <c r="A413" s="39"/>
      <c r="B413" s="43"/>
      <c r="C413" s="43"/>
      <c r="D413" s="43"/>
      <c r="E413" s="43"/>
      <c r="F413" s="43"/>
      <c r="G413" s="43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 s="4" customFormat="1" ht="17.25" hidden="1" outlineLevel="1" x14ac:dyDescent="0.35">
      <c r="A414" s="110" t="s">
        <v>172</v>
      </c>
      <c r="B414" s="114" t="s">
        <v>173</v>
      </c>
      <c r="C414" s="115">
        <v>2024</v>
      </c>
      <c r="D414" s="115">
        <f>C414+1</f>
        <v>2025</v>
      </c>
      <c r="E414" s="115">
        <f t="shared" ref="E414:G414" si="244">D414+1</f>
        <v>2026</v>
      </c>
      <c r="F414" s="115">
        <f t="shared" si="244"/>
        <v>2027</v>
      </c>
      <c r="G414" s="115">
        <f t="shared" si="244"/>
        <v>2028</v>
      </c>
      <c r="H414" s="116" t="s">
        <v>174</v>
      </c>
      <c r="I414" s="113"/>
      <c r="J414" s="204" t="s">
        <v>186</v>
      </c>
      <c r="K414" s="204"/>
      <c r="L414" s="113"/>
      <c r="M414" s="113"/>
      <c r="N414" s="113"/>
      <c r="O414" s="113"/>
      <c r="P414" s="113"/>
      <c r="Q414" s="113"/>
      <c r="R414" s="113"/>
      <c r="S414" s="113"/>
      <c r="T414" s="113"/>
      <c r="U414" s="113"/>
      <c r="V414" s="113"/>
      <c r="W414" s="113"/>
      <c r="X414" s="113"/>
      <c r="Y414" s="113"/>
      <c r="Z414" s="113"/>
    </row>
    <row r="415" spans="1:26" hidden="1" outlineLevel="1" x14ac:dyDescent="0.3">
      <c r="A415" s="39" t="s">
        <v>175</v>
      </c>
      <c r="B415" s="117">
        <f ca="1">DATE(YEAR(TODAY()),12,31)</f>
        <v>45291</v>
      </c>
      <c r="C415" s="117">
        <f ca="1">DATE(YEAR(B415)+1,12,31)</f>
        <v>45657</v>
      </c>
      <c r="D415" s="117">
        <f t="shared" ref="D415:H415" ca="1" si="245">DATE(YEAR(C415)+1,12,31)</f>
        <v>46022</v>
      </c>
      <c r="E415" s="117">
        <f t="shared" ca="1" si="245"/>
        <v>46387</v>
      </c>
      <c r="F415" s="117">
        <f t="shared" ca="1" si="245"/>
        <v>46752</v>
      </c>
      <c r="G415" s="117">
        <f t="shared" ca="1" si="245"/>
        <v>47118</v>
      </c>
      <c r="H415" s="117">
        <f t="shared" ca="1" si="245"/>
        <v>47483</v>
      </c>
      <c r="I415" s="6"/>
      <c r="J415" s="122" t="s">
        <v>189</v>
      </c>
      <c r="K415" s="6">
        <f>(G428*(1+B403))</f>
        <v>224521111.51206675</v>
      </c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 hidden="1" outlineLevel="1" x14ac:dyDescent="0.3">
      <c r="A416" s="39" t="s">
        <v>176</v>
      </c>
      <c r="B416" s="43"/>
      <c r="C416" s="43">
        <v>1</v>
      </c>
      <c r="D416" s="43">
        <v>2</v>
      </c>
      <c r="E416" s="43">
        <v>3</v>
      </c>
      <c r="F416" s="43">
        <v>4</v>
      </c>
      <c r="G416" s="43">
        <v>5</v>
      </c>
      <c r="H416" s="6"/>
      <c r="I416" s="6"/>
      <c r="J416" s="6" t="s">
        <v>199</v>
      </c>
      <c r="K416" s="37">
        <f>B398-B403</f>
        <v>5.5719968178202073E-2</v>
      </c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 ht="18" hidden="1" outlineLevel="1" thickBot="1" x14ac:dyDescent="0.4">
      <c r="A417" s="39" t="s">
        <v>177</v>
      </c>
      <c r="B417" s="43"/>
      <c r="C417" s="43">
        <f ca="1">IFERROR(YEARFRAC(B415,C415),"")</f>
        <v>1</v>
      </c>
      <c r="D417" s="43">
        <f t="shared" ref="D417:G417" ca="1" si="246">IFERROR(YEARFRAC(C415,D415),"")</f>
        <v>1</v>
      </c>
      <c r="E417" s="43">
        <f t="shared" ca="1" si="246"/>
        <v>1</v>
      </c>
      <c r="F417" s="43">
        <f t="shared" ca="1" si="246"/>
        <v>1</v>
      </c>
      <c r="G417" s="43">
        <f t="shared" ca="1" si="246"/>
        <v>1</v>
      </c>
      <c r="H417" s="6"/>
      <c r="I417" s="6"/>
      <c r="J417" s="6"/>
      <c r="K417" s="133">
        <f>K415/K416</f>
        <v>4029455128.0792103</v>
      </c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 ht="17.25" hidden="1" outlineLevel="1" thickTop="1" x14ac:dyDescent="0.3">
      <c r="A418" s="39"/>
      <c r="B418" s="87"/>
      <c r="C418" s="87"/>
      <c r="D418" s="87"/>
      <c r="E418" s="87"/>
      <c r="F418" s="87"/>
      <c r="G418" s="87"/>
      <c r="H418" s="71"/>
      <c r="I418" s="71"/>
      <c r="J418" s="39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 hidden="1" outlineLevel="1" x14ac:dyDescent="0.3">
      <c r="A419" s="39" t="s">
        <v>155</v>
      </c>
      <c r="B419" s="87"/>
      <c r="C419" s="87">
        <f>F282</f>
        <v>-71952150</v>
      </c>
      <c r="D419" s="87">
        <f>K282</f>
        <v>79622955.746452361</v>
      </c>
      <c r="E419" s="87">
        <f>P282</f>
        <v>227357110.29167658</v>
      </c>
      <c r="F419" s="87">
        <f>U282</f>
        <v>387409671.21763587</v>
      </c>
      <c r="G419" s="87">
        <f>Z282</f>
        <v>567036839.8811233</v>
      </c>
      <c r="H419" s="71"/>
      <c r="I419" s="71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 ht="17.25" hidden="1" outlineLevel="1" x14ac:dyDescent="0.35">
      <c r="A420" s="39" t="s">
        <v>178</v>
      </c>
      <c r="B420" s="90"/>
      <c r="C420" s="118">
        <f>F276</f>
        <v>53040000.000000007</v>
      </c>
      <c r="D420" s="118">
        <f>K276</f>
        <v>50671414.112210929</v>
      </c>
      <c r="E420" s="118">
        <f>P276</f>
        <v>47900168.62349771</v>
      </c>
      <c r="F420" s="118">
        <f>U276</f>
        <v>44657811.401703253</v>
      </c>
      <c r="G420" s="118">
        <f>Z276</f>
        <v>40864253.452203736</v>
      </c>
      <c r="H420" s="119"/>
      <c r="I420" s="71"/>
      <c r="J420" s="116" t="s">
        <v>231</v>
      </c>
      <c r="K420" s="11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 s="4" customFormat="1" ht="17.25" hidden="1" outlineLevel="1" x14ac:dyDescent="0.35">
      <c r="A421" s="40" t="s">
        <v>74</v>
      </c>
      <c r="B421" s="120"/>
      <c r="C421" s="120">
        <f>IFERROR(IF(C419&lt;=0,C419-C420,C419-C420),"")</f>
        <v>-124992150</v>
      </c>
      <c r="D421" s="120">
        <f t="shared" ref="D421:G421" si="247">IFERROR(IF(D419&lt;=0,D419-D420,D419-D420),"")</f>
        <v>28951541.634241432</v>
      </c>
      <c r="E421" s="120">
        <f t="shared" si="247"/>
        <v>179456941.66817886</v>
      </c>
      <c r="F421" s="120">
        <f t="shared" si="247"/>
        <v>342751859.81593263</v>
      </c>
      <c r="G421" s="120">
        <f t="shared" si="247"/>
        <v>526172586.42891955</v>
      </c>
      <c r="H421" s="121"/>
      <c r="I421" s="121"/>
      <c r="J421" s="113" t="s">
        <v>232</v>
      </c>
      <c r="K421" s="87">
        <f ca="1">B431</f>
        <v>1811084769.5967145</v>
      </c>
      <c r="L421" s="113"/>
      <c r="M421" s="113"/>
      <c r="N421" s="113"/>
      <c r="O421" s="113"/>
      <c r="P421" s="113"/>
      <c r="Q421" s="113"/>
      <c r="R421" s="113"/>
      <c r="S421" s="113"/>
      <c r="T421" s="113"/>
      <c r="U421" s="113"/>
      <c r="V421" s="113"/>
      <c r="W421" s="113"/>
      <c r="X421" s="113"/>
      <c r="Y421" s="113"/>
      <c r="Z421" s="113"/>
    </row>
    <row r="422" spans="1:26" hidden="1" outlineLevel="1" x14ac:dyDescent="0.3">
      <c r="A422" s="39" t="s">
        <v>179</v>
      </c>
      <c r="B422" s="87"/>
      <c r="C422" s="87">
        <f>IFERROR(IF(C421&lt;=0,C421*-0.3,C421*-0.3),0)</f>
        <v>37497645</v>
      </c>
      <c r="D422" s="87">
        <f>IFERROR(IF(D421&lt;=0,D421*-0.3,D421*-0.3),0)</f>
        <v>-8685462.4902724288</v>
      </c>
      <c r="E422" s="87">
        <f>IFERROR(IF(E421&lt;=0,E421*-0.3,E421*-0.3),0)</f>
        <v>-53837082.500453658</v>
      </c>
      <c r="F422" s="87">
        <f>IFERROR(IF(F421&lt;=0,F421*-0.3,F421*-0.3),0)</f>
        <v>-102825557.94477978</v>
      </c>
      <c r="G422" s="87">
        <f>IFERROR(IF(G421&lt;=0,G421*-0.3,G421*-0.3),0)</f>
        <v>-157851775.92867586</v>
      </c>
      <c r="H422" s="71"/>
      <c r="I422" s="71" t="s">
        <v>198</v>
      </c>
      <c r="J422" s="6" t="s">
        <v>233</v>
      </c>
      <c r="K422" s="87">
        <f>Z297</f>
        <v>1188976452.8237972</v>
      </c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 hidden="1" outlineLevel="1" x14ac:dyDescent="0.3">
      <c r="A423" s="39" t="s">
        <v>180</v>
      </c>
      <c r="B423" s="87"/>
      <c r="C423" s="87">
        <f>F271</f>
        <v>38725000</v>
      </c>
      <c r="D423" s="87">
        <f>K271</f>
        <v>38725000</v>
      </c>
      <c r="E423" s="87">
        <f>P271</f>
        <v>38725000</v>
      </c>
      <c r="F423" s="87">
        <f>U271</f>
        <v>44725000</v>
      </c>
      <c r="G423" s="87">
        <f>Z271</f>
        <v>28800000</v>
      </c>
      <c r="H423" s="71"/>
      <c r="I423" s="71"/>
      <c r="J423" s="6" t="s">
        <v>234</v>
      </c>
      <c r="K423" s="87">
        <f>-B410</f>
        <v>-312000000</v>
      </c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 ht="18" hidden="1" outlineLevel="1" thickBot="1" x14ac:dyDescent="0.4">
      <c r="A424" s="39" t="s">
        <v>181</v>
      </c>
      <c r="B424" s="87"/>
      <c r="C424" s="87">
        <f>-SUM(F366:F371)</f>
        <v>-327700000</v>
      </c>
      <c r="D424" s="87">
        <f>-SUM(K366:K371)</f>
        <v>0</v>
      </c>
      <c r="E424" s="87">
        <f>-SUM(P366:P371)</f>
        <v>0</v>
      </c>
      <c r="F424" s="87">
        <f>-SUM(U366:U371)</f>
        <v>-24000000</v>
      </c>
      <c r="G424" s="87">
        <f>-SUM(Z366:Z371)</f>
        <v>0</v>
      </c>
      <c r="H424" s="71"/>
      <c r="I424" s="71"/>
      <c r="J424" s="6"/>
      <c r="K424" s="95">
        <f ca="1">SUM(K421:K423)</f>
        <v>2688061222.4205117</v>
      </c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 ht="17.25" hidden="1" outlineLevel="1" thickTop="1" x14ac:dyDescent="0.3">
      <c r="A425" s="39" t="s">
        <v>185</v>
      </c>
      <c r="B425" s="87"/>
      <c r="C425" s="118">
        <f>F354</f>
        <v>-1225590</v>
      </c>
      <c r="D425" s="118">
        <f>K354</f>
        <v>-31300049.375</v>
      </c>
      <c r="E425" s="118">
        <f>P354</f>
        <v>-26419643.671875</v>
      </c>
      <c r="F425" s="118">
        <f>U354</f>
        <v>-28008826.238671888</v>
      </c>
      <c r="G425" s="118">
        <f>Z354</f>
        <v>-30913221.799833979</v>
      </c>
      <c r="H425" s="71"/>
      <c r="I425" s="71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 s="4" customFormat="1" ht="17.25" hidden="1" outlineLevel="1" x14ac:dyDescent="0.35">
      <c r="A426" s="40" t="s">
        <v>182</v>
      </c>
      <c r="B426" s="120"/>
      <c r="C426" s="120">
        <f>SUM(C421:C425)</f>
        <v>-377695095</v>
      </c>
      <c r="D426" s="120">
        <f t="shared" ref="D426:G426" si="248">SUM(D421:D425)</f>
        <v>27691029.768968999</v>
      </c>
      <c r="E426" s="120">
        <f t="shared" si="248"/>
        <v>137925215.49585021</v>
      </c>
      <c r="F426" s="120">
        <f t="shared" si="248"/>
        <v>232642475.63248098</v>
      </c>
      <c r="G426" s="120">
        <f t="shared" si="248"/>
        <v>366207588.70040971</v>
      </c>
      <c r="H426" s="121"/>
      <c r="I426" s="121"/>
      <c r="J426" s="113"/>
      <c r="K426" s="113"/>
      <c r="L426" s="113"/>
      <c r="M426" s="113"/>
      <c r="N426" s="113"/>
      <c r="O426" s="113"/>
      <c r="P426" s="113"/>
      <c r="Q426" s="113"/>
      <c r="R426" s="113"/>
      <c r="S426" s="113"/>
      <c r="T426" s="113"/>
      <c r="U426" s="113"/>
      <c r="V426" s="113"/>
      <c r="W426" s="113"/>
      <c r="X426" s="113"/>
      <c r="Y426" s="113"/>
      <c r="Z426" s="113"/>
    </row>
    <row r="427" spans="1:26" hidden="1" outlineLevel="1" x14ac:dyDescent="0.3">
      <c r="A427" s="39" t="s">
        <v>183</v>
      </c>
      <c r="B427" s="87">
        <f>(F309+F303)*-1</f>
        <v>-281865697.78528064</v>
      </c>
      <c r="C427" s="87"/>
      <c r="D427" s="87"/>
      <c r="E427" s="87"/>
      <c r="F427" s="87"/>
      <c r="G427" s="87"/>
      <c r="H427" s="71">
        <f>K417</f>
        <v>4029455128.0792103</v>
      </c>
      <c r="I427" s="71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 s="4" customFormat="1" ht="18" hidden="1" outlineLevel="1" thickBot="1" x14ac:dyDescent="0.4">
      <c r="A428" s="40" t="s">
        <v>184</v>
      </c>
      <c r="B428" s="88">
        <f>B427</f>
        <v>-281865697.78528064</v>
      </c>
      <c r="C428" s="88">
        <f>-IFERROR(PV($B$398,C416,1,C426),"")</f>
        <v>-338521407.49682707</v>
      </c>
      <c r="D428" s="88">
        <f t="shared" ref="D428:G428" si="249">-IFERROR(PV($B$398,D416,1,D426),"")</f>
        <v>22244811.408514466</v>
      </c>
      <c r="E428" s="88">
        <f t="shared" si="249"/>
        <v>99306588.89097099</v>
      </c>
      <c r="F428" s="88">
        <f t="shared" si="249"/>
        <v>150130246.08582726</v>
      </c>
      <c r="G428" s="88">
        <f t="shared" si="249"/>
        <v>211812369.35100636</v>
      </c>
      <c r="H428" s="88">
        <f>SUM(H427)</f>
        <v>4029455128.0792103</v>
      </c>
      <c r="I428" s="121"/>
      <c r="J428" s="113"/>
      <c r="K428" s="113"/>
      <c r="L428" s="113"/>
      <c r="M428" s="113"/>
      <c r="N428" s="113"/>
      <c r="O428" s="113"/>
      <c r="P428" s="113"/>
      <c r="Q428" s="113"/>
      <c r="R428" s="113"/>
      <c r="S428" s="113"/>
      <c r="T428" s="113"/>
      <c r="U428" s="113"/>
      <c r="V428" s="113"/>
      <c r="W428" s="113"/>
      <c r="X428" s="113"/>
      <c r="Y428" s="113"/>
      <c r="Z428" s="113"/>
    </row>
    <row r="429" spans="1:26" hidden="1" outlineLevel="1" x14ac:dyDescent="0.3">
      <c r="A429" s="39"/>
      <c r="B429" s="87"/>
      <c r="C429" s="87"/>
      <c r="D429" s="87"/>
      <c r="E429" s="87"/>
      <c r="F429" s="87"/>
      <c r="G429" s="87"/>
      <c r="H429" s="71"/>
      <c r="I429" s="71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 ht="17.25" hidden="1" outlineLevel="1" x14ac:dyDescent="0.3">
      <c r="A430" s="132" t="s">
        <v>195</v>
      </c>
      <c r="B430" s="135">
        <v>0.14000000000000001</v>
      </c>
      <c r="C430" s="87"/>
      <c r="D430" s="87"/>
      <c r="E430" s="87"/>
      <c r="F430" s="87"/>
      <c r="G430" s="87"/>
      <c r="H430" s="71"/>
      <c r="I430" s="71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 ht="17.25" hidden="1" outlineLevel="1" x14ac:dyDescent="0.35">
      <c r="A431" s="174" t="s">
        <v>196</v>
      </c>
      <c r="B431" s="175">
        <f ca="1">XNPV(B398,B428:H428,B415:H415)</f>
        <v>1811084769.5967145</v>
      </c>
      <c r="C431" s="207" t="s">
        <v>200</v>
      </c>
      <c r="D431" s="207"/>
      <c r="E431" s="207"/>
      <c r="F431" s="207"/>
      <c r="G431" s="207"/>
      <c r="H431" s="207"/>
      <c r="I431" s="207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 ht="17.25" hidden="1" outlineLevel="1" x14ac:dyDescent="0.35">
      <c r="A432" s="174" t="s">
        <v>197</v>
      </c>
      <c r="B432" s="176">
        <f ca="1">XIRR(B428:H428,B415:H415,B430)</f>
        <v>0.46490136981010433</v>
      </c>
      <c r="C432" s="207" t="s">
        <v>227</v>
      </c>
      <c r="D432" s="207"/>
      <c r="E432" s="207"/>
      <c r="F432" s="207"/>
      <c r="G432" s="207"/>
      <c r="H432" s="207"/>
      <c r="I432" s="207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 ht="17.25" hidden="1" outlineLevel="1" x14ac:dyDescent="0.35">
      <c r="A433" s="174" t="s">
        <v>235</v>
      </c>
      <c r="B433" s="175">
        <f ca="1">K424/(B409/10)</f>
        <v>412.91263017212162</v>
      </c>
      <c r="C433" s="207" t="s">
        <v>237</v>
      </c>
      <c r="D433" s="207"/>
      <c r="E433" s="207"/>
      <c r="F433" s="207"/>
      <c r="G433" s="207"/>
      <c r="H433" s="207"/>
      <c r="I433" s="207"/>
      <c r="J433" s="134"/>
      <c r="K433" s="134"/>
      <c r="L433" s="134"/>
      <c r="M433" s="134"/>
      <c r="N433" s="134"/>
      <c r="O433" s="134"/>
      <c r="P433" s="134"/>
      <c r="Q433" s="134"/>
      <c r="R433" s="134"/>
      <c r="S433" s="134"/>
      <c r="T433" s="134"/>
      <c r="U433" s="134"/>
      <c r="V433" s="134"/>
      <c r="W433" s="134"/>
      <c r="X433" s="134"/>
      <c r="Y433" s="134"/>
      <c r="Z433" s="134"/>
    </row>
    <row r="434" spans="1:26" x14ac:dyDescent="0.3">
      <c r="A434" s="39"/>
      <c r="B434" s="87"/>
      <c r="C434" s="87"/>
      <c r="D434" s="87"/>
      <c r="E434" s="87"/>
      <c r="F434" s="87"/>
      <c r="G434" s="87"/>
      <c r="H434" s="71"/>
      <c r="I434" s="71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 ht="17.25" collapsed="1" x14ac:dyDescent="0.35">
      <c r="A435" s="1" t="s">
        <v>188</v>
      </c>
      <c r="B435" s="2"/>
      <c r="C435" s="74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</row>
    <row r="436" spans="1:26" hidden="1" outlineLevel="1" x14ac:dyDescent="0.3">
      <c r="A436" s="39"/>
      <c r="B436" s="43"/>
      <c r="C436" s="43"/>
      <c r="D436" s="43"/>
      <c r="E436" s="43"/>
      <c r="F436" s="43"/>
      <c r="G436" s="43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 ht="17.25" hidden="1" outlineLevel="1" x14ac:dyDescent="0.35">
      <c r="A437" s="40"/>
      <c r="C437" s="112">
        <f>C414</f>
        <v>2024</v>
      </c>
      <c r="D437" s="112">
        <f>D414</f>
        <v>2025</v>
      </c>
      <c r="E437" s="112">
        <f>E414</f>
        <v>2026</v>
      </c>
      <c r="F437" s="112">
        <f>F414</f>
        <v>2027</v>
      </c>
      <c r="G437" s="112">
        <f>G414</f>
        <v>2028</v>
      </c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 ht="17.25" hidden="1" outlineLevel="1" x14ac:dyDescent="0.35">
      <c r="C438" s="120">
        <f>C428</f>
        <v>-338521407.49682707</v>
      </c>
      <c r="D438" s="120">
        <f>D428</f>
        <v>22244811.408514466</v>
      </c>
      <c r="E438" s="120">
        <f>E428</f>
        <v>99306588.89097099</v>
      </c>
      <c r="F438" s="120">
        <f>F428</f>
        <v>150130246.08582726</v>
      </c>
      <c r="G438" s="120">
        <f>G428</f>
        <v>211812369.35100636</v>
      </c>
      <c r="H438" s="6"/>
      <c r="K438" s="6"/>
      <c r="M438" s="6"/>
      <c r="N438" s="6"/>
      <c r="O438" s="6"/>
      <c r="P438" s="113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 ht="17.25" hidden="1" outlineLevel="1" x14ac:dyDescent="0.3">
      <c r="A439" s="39"/>
      <c r="B439" s="43"/>
      <c r="C439" s="43"/>
      <c r="D439" s="167"/>
      <c r="E439" s="167"/>
      <c r="F439" s="167"/>
      <c r="G439" s="16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 hidden="1" outlineLevel="1" x14ac:dyDescent="0.3">
      <c r="A440" s="39"/>
      <c r="B440" s="43"/>
      <c r="C440" s="43"/>
      <c r="D440" s="43"/>
      <c r="E440" s="43"/>
      <c r="F440" s="43"/>
      <c r="G440" s="43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 hidden="1" outlineLevel="1" x14ac:dyDescent="0.3">
      <c r="A441" s="39"/>
      <c r="B441" s="43"/>
      <c r="C441" s="43"/>
      <c r="D441" s="43"/>
      <c r="E441" s="43"/>
      <c r="F441" s="43"/>
      <c r="G441" s="43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 hidden="1" outlineLevel="1" x14ac:dyDescent="0.3">
      <c r="A442" s="39"/>
      <c r="B442" s="43"/>
      <c r="C442" s="43"/>
      <c r="D442" s="43"/>
      <c r="E442" s="43"/>
      <c r="F442" s="43"/>
      <c r="G442" s="43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 hidden="1" outlineLevel="1" x14ac:dyDescent="0.3">
      <c r="A443" s="39"/>
      <c r="B443" s="43"/>
      <c r="C443" s="43"/>
      <c r="D443" s="43"/>
      <c r="E443" s="43"/>
      <c r="F443" s="43"/>
      <c r="G443" s="43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 hidden="1" outlineLevel="1" x14ac:dyDescent="0.3">
      <c r="A444" s="39"/>
      <c r="B444" s="43"/>
      <c r="C444" s="43"/>
      <c r="D444" s="43"/>
      <c r="E444" s="43"/>
      <c r="F444" s="43"/>
      <c r="G444" s="43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 hidden="1" outlineLevel="1" x14ac:dyDescent="0.3">
      <c r="A445" s="39"/>
      <c r="B445" s="43"/>
      <c r="C445" s="43"/>
      <c r="D445" s="43"/>
      <c r="E445" s="43"/>
      <c r="F445" s="43"/>
      <c r="G445" s="43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 hidden="1" outlineLevel="1" x14ac:dyDescent="0.3">
      <c r="A446" s="39"/>
      <c r="B446" s="43"/>
      <c r="C446" s="43"/>
      <c r="D446" s="43"/>
      <c r="E446" s="43"/>
      <c r="F446" s="43"/>
      <c r="G446" s="43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 hidden="1" outlineLevel="1" x14ac:dyDescent="0.3">
      <c r="A447" s="39"/>
      <c r="B447" s="43"/>
      <c r="C447" s="43"/>
      <c r="D447" s="43"/>
      <c r="E447" s="43"/>
      <c r="F447" s="43"/>
      <c r="G447" s="43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 hidden="1" outlineLevel="1" x14ac:dyDescent="0.3">
      <c r="A448" s="39"/>
      <c r="B448" s="43"/>
      <c r="C448" s="43"/>
      <c r="D448" s="43"/>
      <c r="E448" s="43"/>
      <c r="F448" s="43"/>
      <c r="G448" s="43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 hidden="1" outlineLevel="1" x14ac:dyDescent="0.3">
      <c r="A449" s="39"/>
      <c r="B449" s="43"/>
      <c r="C449" s="43"/>
      <c r="D449" s="43"/>
      <c r="E449" s="43"/>
      <c r="F449" s="43"/>
      <c r="G449" s="43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 hidden="1" outlineLevel="1" x14ac:dyDescent="0.3">
      <c r="A450" s="39"/>
      <c r="B450" s="43"/>
      <c r="C450" s="43"/>
      <c r="D450" s="43"/>
      <c r="E450" s="43"/>
      <c r="F450" s="43"/>
      <c r="G450" s="43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 hidden="1" outlineLevel="1" x14ac:dyDescent="0.3">
      <c r="A451" s="39"/>
      <c r="B451" s="43"/>
      <c r="C451" s="43"/>
      <c r="D451" s="43"/>
      <c r="E451" s="43"/>
      <c r="F451" s="43"/>
      <c r="G451" s="43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 hidden="1" outlineLevel="1" x14ac:dyDescent="0.3">
      <c r="A452" s="39"/>
      <c r="B452" s="43"/>
      <c r="C452" s="43"/>
      <c r="D452" s="43"/>
      <c r="E452" s="43"/>
      <c r="F452" s="43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 hidden="1" outlineLevel="1" x14ac:dyDescent="0.3">
      <c r="A453" s="39"/>
      <c r="B453" s="43"/>
      <c r="C453" s="43"/>
      <c r="D453" s="43"/>
      <c r="E453" s="43"/>
      <c r="F453" s="43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 hidden="1" outlineLevel="1" x14ac:dyDescent="0.3">
      <c r="A454" s="39"/>
      <c r="B454" s="43"/>
      <c r="C454" s="43"/>
      <c r="D454" s="43"/>
      <c r="E454" s="43"/>
      <c r="F454" s="43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 hidden="1" outlineLevel="1" x14ac:dyDescent="0.3">
      <c r="A455" s="39"/>
      <c r="B455" s="43"/>
      <c r="C455" s="43"/>
      <c r="D455" s="43"/>
      <c r="E455" s="43"/>
      <c r="F455" s="43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 hidden="1" outlineLevel="1" x14ac:dyDescent="0.3">
      <c r="A456" s="39"/>
      <c r="B456" s="43"/>
      <c r="C456" s="43"/>
      <c r="D456" s="43"/>
      <c r="E456" s="43"/>
      <c r="F456" s="43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 hidden="1" outlineLevel="1" x14ac:dyDescent="0.3"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 x14ac:dyDescent="0.3"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 ht="17.25" collapsed="1" x14ac:dyDescent="0.35">
      <c r="A459" s="1" t="s">
        <v>228</v>
      </c>
      <c r="B459" s="2"/>
      <c r="C459" s="74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</row>
    <row r="460" spans="1:26" hidden="1" outlineLevel="1" x14ac:dyDescent="0.3"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 hidden="1" outlineLevel="1" x14ac:dyDescent="0.3"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 ht="17.25" hidden="1" outlineLevel="1" x14ac:dyDescent="0.35">
      <c r="A462" s="170" t="s">
        <v>241</v>
      </c>
      <c r="B462" s="169"/>
      <c r="C462" s="169"/>
      <c r="D462" s="169"/>
      <c r="E462" s="169"/>
      <c r="F462" s="169"/>
      <c r="G462" s="169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 ht="16.5" hidden="1" customHeight="1" outlineLevel="1" x14ac:dyDescent="0.3">
      <c r="B463" s="6"/>
      <c r="C463" s="204" t="s">
        <v>230</v>
      </c>
      <c r="D463" s="204"/>
      <c r="E463" s="204"/>
      <c r="F463" s="204"/>
      <c r="G463" s="204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 ht="18" hidden="1" outlineLevel="1" x14ac:dyDescent="0.35">
      <c r="B464" s="181">
        <f ca="1">B433</f>
        <v>412.91263017212162</v>
      </c>
      <c r="C464" s="173">
        <v>0</v>
      </c>
      <c r="D464" s="173">
        <f>C464+0.025</f>
        <v>2.5000000000000001E-2</v>
      </c>
      <c r="E464" s="173">
        <f>D464+0.025</f>
        <v>0.05</v>
      </c>
      <c r="F464" s="173">
        <f>E464+0.025</f>
        <v>7.5000000000000011E-2</v>
      </c>
      <c r="G464" s="173">
        <f t="shared" ref="G464" si="250">F464+0.025</f>
        <v>0.1</v>
      </c>
      <c r="H464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 ht="17.25" hidden="1" outlineLevel="1" x14ac:dyDescent="0.35">
      <c r="B465" s="172">
        <v>0</v>
      </c>
      <c r="C465" s="177">
        <f t="dataTable" ref="C465:G469" dt2D="1" dtr="1" r1="I7" r2="B403" ca="1"/>
        <v>237.90144351955902</v>
      </c>
      <c r="D465" s="177">
        <v>237.90144351955902</v>
      </c>
      <c r="E465" s="177">
        <v>237.90144351955902</v>
      </c>
      <c r="F465" s="177">
        <v>237.90144351955902</v>
      </c>
      <c r="G465" s="177">
        <v>237.90144351955902</v>
      </c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 ht="17.25" hidden="1" outlineLevel="1" x14ac:dyDescent="0.35">
      <c r="B466" s="172">
        <f>B465+0.02</f>
        <v>0.02</v>
      </c>
      <c r="C466" s="177">
        <v>271.86028525588847</v>
      </c>
      <c r="D466" s="178">
        <v>271.86028525588847</v>
      </c>
      <c r="E466" s="178">
        <v>271.86028525588847</v>
      </c>
      <c r="F466" s="178">
        <v>271.86028525588847</v>
      </c>
      <c r="G466" s="177">
        <v>271.86028525588847</v>
      </c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 ht="17.25" hidden="1" outlineLevel="1" x14ac:dyDescent="0.35">
      <c r="A467" s="168" t="s">
        <v>229</v>
      </c>
      <c r="B467" s="172">
        <f>B466+0.015</f>
        <v>3.5000000000000003E-2</v>
      </c>
      <c r="C467" s="177">
        <v>308.37277566366322</v>
      </c>
      <c r="D467" s="178">
        <v>308.37277566366322</v>
      </c>
      <c r="E467" s="178">
        <v>308.37277566366322</v>
      </c>
      <c r="F467" s="178">
        <v>308.37277566366322</v>
      </c>
      <c r="G467" s="177">
        <v>308.37277566366322</v>
      </c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 ht="17.25" hidden="1" outlineLevel="1" x14ac:dyDescent="0.35">
      <c r="B468" s="172">
        <f t="shared" ref="B468:B469" si="251">B467+0.02</f>
        <v>5.5000000000000007E-2</v>
      </c>
      <c r="C468" s="177">
        <v>385.11797222858877</v>
      </c>
      <c r="D468" s="178">
        <v>385.11797222858877</v>
      </c>
      <c r="E468" s="178">
        <v>385.11797222858877</v>
      </c>
      <c r="F468" s="178">
        <v>385.11797222858877</v>
      </c>
      <c r="G468" s="177">
        <v>385.11797222858877</v>
      </c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 ht="17.25" hidden="1" outlineLevel="1" x14ac:dyDescent="0.35">
      <c r="B469" s="172">
        <f t="shared" si="251"/>
        <v>7.5000000000000011E-2</v>
      </c>
      <c r="C469" s="177">
        <v>537.25143651422275</v>
      </c>
      <c r="D469" s="177">
        <v>537.25143651422275</v>
      </c>
      <c r="E469" s="177">
        <v>537.25143651422275</v>
      </c>
      <c r="F469" s="177">
        <v>537.25143651422275</v>
      </c>
      <c r="G469" s="177">
        <v>537.25143651422275</v>
      </c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 hidden="1" outlineLevel="1" x14ac:dyDescent="0.3"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 hidden="1" outlineLevel="1" x14ac:dyDescent="0.3"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 hidden="1" outlineLevel="1" x14ac:dyDescent="0.3"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 hidden="1" outlineLevel="1" x14ac:dyDescent="0.3"/>
    <row r="474" spans="1:26" hidden="1" outlineLevel="1" x14ac:dyDescent="0.3"/>
    <row r="475" spans="1:26" hidden="1" outlineLevel="1" x14ac:dyDescent="0.3"/>
    <row r="477" spans="1:26" ht="17.25" collapsed="1" x14ac:dyDescent="0.35">
      <c r="A477" s="1" t="s">
        <v>251</v>
      </c>
      <c r="B477" s="2"/>
      <c r="C477" s="74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</row>
    <row r="478" spans="1:26" hidden="1" outlineLevel="1" x14ac:dyDescent="0.3"/>
    <row r="479" spans="1:26" ht="17.25" hidden="1" outlineLevel="1" x14ac:dyDescent="0.35">
      <c r="A479" s="191" t="s">
        <v>252</v>
      </c>
    </row>
    <row r="480" spans="1:26" hidden="1" outlineLevel="1" x14ac:dyDescent="0.3">
      <c r="A480" s="3" t="s">
        <v>253</v>
      </c>
      <c r="F480" s="192">
        <f>IFERROR(F274/(F306+F312),"")</f>
        <v>-6.8793081142626E-2</v>
      </c>
      <c r="G480" s="192"/>
      <c r="H480" s="192"/>
      <c r="I480" s="192"/>
      <c r="J480" s="192"/>
      <c r="K480" s="192">
        <f t="shared" ref="K480:Z480" si="252">IFERROR(K274/(K306+K312),"")</f>
        <v>0.4901228892426408</v>
      </c>
      <c r="L480" s="192"/>
      <c r="M480" s="192"/>
      <c r="N480" s="192"/>
      <c r="O480" s="192"/>
      <c r="P480" s="192">
        <f t="shared" si="252"/>
        <v>0.68953189219260747</v>
      </c>
      <c r="Q480" s="192"/>
      <c r="R480" s="192"/>
      <c r="S480" s="192"/>
      <c r="T480" s="192"/>
      <c r="U480" s="192">
        <f t="shared" si="252"/>
        <v>0.66322421092031658</v>
      </c>
      <c r="V480" s="192"/>
      <c r="W480" s="192"/>
      <c r="X480" s="192"/>
      <c r="Y480" s="192"/>
      <c r="Z480" s="192">
        <f t="shared" si="252"/>
        <v>0.59161428386306369</v>
      </c>
    </row>
    <row r="481" spans="1:26" hidden="1" outlineLevel="1" x14ac:dyDescent="0.3">
      <c r="A481" s="3" t="s">
        <v>254</v>
      </c>
      <c r="F481" s="192">
        <f>IFERROR(IF(AND(F282&lt;0,F306&lt;0),(F282/F306)*-1,F282/F306),"")</f>
        <v>-10.500667673649877</v>
      </c>
      <c r="G481" s="192"/>
      <c r="H481" s="192"/>
      <c r="I481" s="192"/>
      <c r="J481" s="192"/>
      <c r="K481" s="192">
        <f>IFERROR(IF(AND(K282&lt;0,K306&lt;0),(K282/K306)*-1,K282/K306),"")</f>
        <v>1.094160699881134</v>
      </c>
      <c r="L481" s="192"/>
      <c r="M481" s="192"/>
      <c r="N481" s="192"/>
      <c r="O481" s="192"/>
      <c r="P481" s="192">
        <f>IFERROR(IF(AND(P282&lt;0,P306&lt;0),(P282/P306)*-1,P282/P306),"")</f>
        <v>0.75753403179860346</v>
      </c>
      <c r="Q481" s="192"/>
      <c r="R481" s="192"/>
      <c r="S481" s="192"/>
      <c r="T481" s="192"/>
      <c r="U481" s="192">
        <f>IFERROR(IF(AND(U282&lt;0,U306&lt;0),(U282/U306)*-1,U282/U306),"")</f>
        <v>0.56347416984712284</v>
      </c>
      <c r="V481" s="192"/>
      <c r="W481" s="192"/>
      <c r="X481" s="192"/>
      <c r="Y481" s="192"/>
      <c r="Z481" s="192">
        <f>IFERROR(IF(AND(Z282&lt;0,Z306&lt;0),(Z282/Z306)*-1,Z282/Z306),"")</f>
        <v>0.4519754488979818</v>
      </c>
    </row>
    <row r="482" spans="1:26" hidden="1" outlineLevel="1" x14ac:dyDescent="0.3">
      <c r="A482" s="3" t="s">
        <v>255</v>
      </c>
      <c r="F482" s="192">
        <f>IFERROR(IF(AND(F277&lt;0,F265&lt;0),(F277/F265)*-1,F277/F265),"")</f>
        <v>-0.62969682251087933</v>
      </c>
      <c r="G482" s="192"/>
      <c r="H482" s="192"/>
      <c r="I482" s="192"/>
      <c r="J482" s="192"/>
      <c r="K482" s="192">
        <f>IFERROR(IF(AND(K277&lt;0,K265&lt;0),(K277/K265)*-1,K277/K265),"")</f>
        <v>0.31847975180701654</v>
      </c>
      <c r="L482" s="192"/>
      <c r="M482" s="192"/>
      <c r="N482" s="192"/>
      <c r="O482" s="192"/>
      <c r="P482" s="192">
        <f>IFERROR(IF(AND(P277&lt;0,P265&lt;0),(P277/P265)*-1,P277/P265),"")</f>
        <v>0.52302676602575826</v>
      </c>
      <c r="Q482" s="192"/>
      <c r="R482" s="192"/>
      <c r="S482" s="192"/>
      <c r="T482" s="192"/>
      <c r="U482" s="192">
        <f>IFERROR(IF(AND(U277&lt;0,U265&lt;0),(U277/U265)*-1,U277/U265),"")</f>
        <v>0.60943959602936859</v>
      </c>
      <c r="V482" s="192"/>
      <c r="W482" s="192"/>
      <c r="X482" s="192"/>
      <c r="Y482" s="192"/>
      <c r="Z482" s="192">
        <f>IFERROR(IF(AND(Z277&lt;0,Z265&lt;0),(Z277/Z265)*-1,Z277/Z265),"")</f>
        <v>0.66337672392544067</v>
      </c>
    </row>
    <row r="483" spans="1:26" hidden="1" outlineLevel="1" x14ac:dyDescent="0.3">
      <c r="A483" s="3" t="s">
        <v>256</v>
      </c>
      <c r="F483" s="192">
        <f>IFERROR(IF(AND(F279&lt;0,F265&lt;0),(F279/F265)*-1,F279/F265),"")</f>
        <v>0</v>
      </c>
      <c r="G483" s="193"/>
      <c r="H483" s="193"/>
      <c r="I483" s="193"/>
      <c r="J483" s="193"/>
      <c r="K483" s="192">
        <f>IFERROR(IF(AND(K279&lt;0,K265&lt;0),(K279/K265)*-1,K279/K265),"")</f>
        <v>9.5543925542104946E-2</v>
      </c>
      <c r="L483" s="193"/>
      <c r="M483" s="193"/>
      <c r="N483" s="193"/>
      <c r="O483" s="193"/>
      <c r="P483" s="192">
        <f>IFERROR(IF(AND(P279&lt;0,P265&lt;0),(P279/P265)*-1,P279/P265),"")</f>
        <v>0.15690802980772747</v>
      </c>
      <c r="Q483" s="193"/>
      <c r="R483" s="193"/>
      <c r="S483" s="193"/>
      <c r="T483" s="193"/>
      <c r="U483" s="192">
        <f>IFERROR(IF(AND(U279&lt;0,U265&lt;0),(U279/U265)*-1,U279/U265),"")</f>
        <v>0.18283187880881058</v>
      </c>
      <c r="V483" s="193"/>
      <c r="W483" s="193"/>
      <c r="X483" s="193"/>
      <c r="Y483" s="193"/>
      <c r="Z483" s="192">
        <f>IFERROR(IF(AND(Z279&lt;0,Z265&lt;0),(Z279/Z265)*-1,Z279/Z265),"")</f>
        <v>0.19901301717763217</v>
      </c>
    </row>
    <row r="484" spans="1:26" hidden="1" outlineLevel="1" x14ac:dyDescent="0.3">
      <c r="F484" s="193"/>
      <c r="G484" s="193"/>
      <c r="H484" s="193"/>
      <c r="I484" s="193"/>
      <c r="J484" s="193"/>
      <c r="K484" s="193"/>
      <c r="L484" s="193"/>
      <c r="M484" s="193"/>
      <c r="N484" s="193"/>
      <c r="O484" s="193"/>
      <c r="P484" s="193"/>
      <c r="Q484" s="193"/>
      <c r="R484" s="193"/>
      <c r="S484" s="193"/>
      <c r="T484" s="193"/>
      <c r="U484" s="193"/>
      <c r="V484" s="193"/>
      <c r="W484" s="193"/>
      <c r="X484" s="193"/>
      <c r="Y484" s="193"/>
      <c r="Z484" s="193"/>
    </row>
    <row r="485" spans="1:26" ht="17.25" hidden="1" outlineLevel="1" x14ac:dyDescent="0.35">
      <c r="A485" s="191" t="s">
        <v>257</v>
      </c>
      <c r="F485" s="193"/>
      <c r="G485" s="193"/>
      <c r="H485" s="193"/>
      <c r="I485" s="193"/>
      <c r="J485" s="193"/>
      <c r="K485" s="193"/>
      <c r="L485" s="193"/>
      <c r="M485" s="193"/>
      <c r="N485" s="193"/>
      <c r="O485" s="193"/>
      <c r="P485" s="193"/>
      <c r="Q485" s="193"/>
      <c r="R485" s="193"/>
      <c r="S485" s="193"/>
      <c r="T485" s="193"/>
      <c r="U485" s="193"/>
      <c r="V485" s="193"/>
      <c r="W485" s="193"/>
      <c r="X485" s="193"/>
      <c r="Y485" s="193"/>
      <c r="Z485" s="193"/>
    </row>
    <row r="486" spans="1:26" hidden="1" outlineLevel="1" x14ac:dyDescent="0.3">
      <c r="A486" s="3" t="s">
        <v>258</v>
      </c>
      <c r="F486" s="194">
        <f>IFERROR(IF(AND(F299&lt;0,F318&lt;0),(F299/F318)*-1,F299/F318),"")</f>
        <v>0.28427494675191967</v>
      </c>
      <c r="G486" s="193"/>
      <c r="H486" s="193"/>
      <c r="I486" s="193"/>
      <c r="J486" s="193"/>
      <c r="K486" s="194">
        <f>IFERROR(IF(AND(K299&lt;0,K318&lt;0),(K299/K318)*-1,K299/K318),"")</f>
        <v>4.8276513643503947</v>
      </c>
      <c r="L486" s="193"/>
      <c r="M486" s="193"/>
      <c r="N486" s="193"/>
      <c r="O486" s="193"/>
      <c r="P486" s="194">
        <f>IFERROR(IF(AND(P299&lt;0,P318&lt;0),(P299/P318)*-1,P299/P318),"")</f>
        <v>13.916890082262436</v>
      </c>
      <c r="Q486" s="193"/>
      <c r="R486" s="193"/>
      <c r="S486" s="193"/>
      <c r="T486" s="193"/>
      <c r="U486" s="194">
        <f>IFERROR(IF(AND(U299&lt;0,U318&lt;0),(U299/U318)*-1,U299/U318),"")</f>
        <v>24.726976585792617</v>
      </c>
      <c r="V486" s="193"/>
      <c r="W486" s="193"/>
      <c r="X486" s="193"/>
      <c r="Y486" s="193"/>
      <c r="Z486" s="194">
        <f>IFERROR(IF(AND(Z299&lt;0,Z318&lt;0),(Z299/Z318)*-1,Z299/Z318),"")</f>
        <v>37.685486534011126</v>
      </c>
    </row>
    <row r="487" spans="1:26" hidden="1" outlineLevel="1" x14ac:dyDescent="0.3">
      <c r="A487" s="3" t="s">
        <v>259</v>
      </c>
      <c r="F487" s="194">
        <f>IFERROR(IF(AND(F299&lt;0,F318&lt;0),(F299/F318)*-1,F299/F318),"")</f>
        <v>0.28427494675191967</v>
      </c>
      <c r="G487" s="193"/>
      <c r="H487" s="193"/>
      <c r="I487" s="193"/>
      <c r="J487" s="193"/>
      <c r="K487" s="194">
        <f>IFERROR(IF(AND(K299&lt;0,K318&lt;0),(K299/K318)*-1,K299/K318),"")</f>
        <v>4.8276513643503947</v>
      </c>
      <c r="L487" s="193"/>
      <c r="M487" s="193"/>
      <c r="N487" s="193"/>
      <c r="O487" s="193"/>
      <c r="P487" s="194">
        <f>IFERROR(IF(AND(P299&lt;0,P318&lt;0),(P299/P318)*-1,P299/P318),"")</f>
        <v>13.916890082262436</v>
      </c>
      <c r="Q487" s="193"/>
      <c r="R487" s="193"/>
      <c r="S487" s="193"/>
      <c r="T487" s="193"/>
      <c r="U487" s="194">
        <f>IFERROR(IF(AND(U299&lt;0,U318&lt;0),(U299/U318)*-1,U299/U318),"")</f>
        <v>24.726976585792617</v>
      </c>
      <c r="V487" s="193"/>
      <c r="W487" s="193"/>
      <c r="X487" s="193"/>
      <c r="Y487" s="193"/>
      <c r="Z487" s="194">
        <f>IFERROR(IF(AND(Z299&lt;0,Z318&lt;0),(Z299/Z318)*-1,Z299/Z318),"")</f>
        <v>37.685486534011126</v>
      </c>
    </row>
    <row r="488" spans="1:26" hidden="1" outlineLevel="1" x14ac:dyDescent="0.3">
      <c r="F488" s="193"/>
      <c r="G488" s="193"/>
      <c r="H488" s="193"/>
      <c r="I488" s="193"/>
      <c r="J488" s="193"/>
      <c r="K488" s="193"/>
      <c r="L488" s="193"/>
      <c r="M488" s="193"/>
      <c r="N488" s="193"/>
      <c r="O488" s="193"/>
      <c r="P488" s="193"/>
      <c r="Q488" s="193"/>
      <c r="R488" s="193"/>
      <c r="S488" s="193"/>
      <c r="T488" s="193"/>
      <c r="U488" s="193"/>
      <c r="V488" s="193"/>
      <c r="W488" s="193"/>
      <c r="X488" s="193"/>
      <c r="Y488" s="193"/>
      <c r="Z488" s="193"/>
    </row>
    <row r="489" spans="1:26" ht="17.25" hidden="1" outlineLevel="1" x14ac:dyDescent="0.35">
      <c r="A489" s="191" t="s">
        <v>260</v>
      </c>
      <c r="F489" s="193"/>
      <c r="G489" s="193"/>
      <c r="H489" s="193"/>
      <c r="I489" s="193"/>
      <c r="J489" s="193"/>
      <c r="K489" s="193"/>
      <c r="L489" s="193"/>
      <c r="M489" s="193"/>
      <c r="N489" s="193"/>
      <c r="O489" s="193"/>
      <c r="P489" s="193"/>
      <c r="Q489" s="193"/>
      <c r="R489" s="193"/>
      <c r="S489" s="193"/>
      <c r="T489" s="193"/>
      <c r="U489" s="193"/>
      <c r="V489" s="193"/>
      <c r="W489" s="193"/>
      <c r="X489" s="193"/>
      <c r="Y489" s="193"/>
      <c r="Z489" s="193"/>
    </row>
    <row r="490" spans="1:26" hidden="1" outlineLevel="1" x14ac:dyDescent="0.3">
      <c r="A490" s="190" t="s">
        <v>261</v>
      </c>
      <c r="B490" s="197">
        <v>365</v>
      </c>
      <c r="F490" s="193"/>
      <c r="G490" s="193"/>
      <c r="H490" s="193"/>
      <c r="I490" s="193"/>
      <c r="J490" s="193"/>
      <c r="K490" s="193"/>
      <c r="L490" s="193"/>
      <c r="M490" s="193"/>
      <c r="N490" s="193"/>
      <c r="O490" s="193"/>
      <c r="P490" s="193"/>
      <c r="Q490" s="193"/>
      <c r="R490" s="193"/>
      <c r="S490" s="193"/>
      <c r="T490" s="193"/>
      <c r="U490" s="193"/>
      <c r="V490" s="193"/>
      <c r="W490" s="193"/>
      <c r="X490" s="193"/>
      <c r="Y490" s="193"/>
      <c r="Z490" s="193"/>
    </row>
    <row r="491" spans="1:26" hidden="1" outlineLevel="1" x14ac:dyDescent="0.3">
      <c r="F491" s="193"/>
      <c r="G491" s="193"/>
      <c r="H491" s="193"/>
      <c r="I491" s="193"/>
      <c r="J491" s="193"/>
      <c r="K491" s="193"/>
      <c r="L491" s="193"/>
      <c r="M491" s="193"/>
      <c r="N491" s="193"/>
      <c r="O491" s="193"/>
      <c r="P491" s="193"/>
      <c r="Q491" s="193"/>
      <c r="R491" s="193"/>
      <c r="S491" s="193"/>
      <c r="T491" s="193"/>
      <c r="U491" s="193"/>
      <c r="V491" s="193"/>
      <c r="W491" s="193"/>
      <c r="X491" s="193"/>
      <c r="Y491" s="193"/>
      <c r="Z491" s="193"/>
    </row>
    <row r="492" spans="1:26" hidden="1" outlineLevel="1" x14ac:dyDescent="0.3">
      <c r="A492" s="3" t="s">
        <v>262</v>
      </c>
      <c r="F492" s="193">
        <f>IFERROR(((F298*$B$490)/F265),"")</f>
        <v>14.6</v>
      </c>
      <c r="G492" s="193"/>
      <c r="H492" s="193"/>
      <c r="I492" s="193"/>
      <c r="J492" s="193"/>
      <c r="K492" s="193">
        <f>IFERROR(((K298*$B$490)/K265),"")</f>
        <v>36.5</v>
      </c>
      <c r="L492" s="193"/>
      <c r="M492" s="193"/>
      <c r="N492" s="193"/>
      <c r="O492" s="193"/>
      <c r="P492" s="193">
        <f>IFERROR(((P298*$B$490)/P265),"")</f>
        <v>36.5</v>
      </c>
      <c r="Q492" s="193"/>
      <c r="R492" s="193"/>
      <c r="S492" s="193"/>
      <c r="T492" s="193"/>
      <c r="U492" s="193">
        <f>IFERROR(((U298*$B$490)/U265),"")</f>
        <v>36.500000000000007</v>
      </c>
      <c r="V492" s="193"/>
      <c r="W492" s="193"/>
      <c r="X492" s="193"/>
      <c r="Y492" s="193"/>
      <c r="Z492" s="193">
        <f>IFERROR(((Z298*$B$490)/Z265),"")</f>
        <v>36.5</v>
      </c>
    </row>
    <row r="493" spans="1:26" hidden="1" outlineLevel="1" x14ac:dyDescent="0.3">
      <c r="A493" s="3" t="s">
        <v>263</v>
      </c>
      <c r="F493" s="193">
        <f>IFERROR(((F317*$B$490)/F269),"")</f>
        <v>109.5</v>
      </c>
      <c r="G493" s="193"/>
      <c r="H493" s="193"/>
      <c r="I493" s="193"/>
      <c r="J493" s="193"/>
      <c r="K493" s="193">
        <f>IFERROR(((K317*$B$490)/K269),"")</f>
        <v>73</v>
      </c>
      <c r="L493" s="193"/>
      <c r="M493" s="193"/>
      <c r="N493" s="193"/>
      <c r="O493" s="193"/>
      <c r="P493" s="193">
        <f>IFERROR(((P317*$B$490)/P269),"")</f>
        <v>73</v>
      </c>
      <c r="Q493" s="193"/>
      <c r="R493" s="193"/>
      <c r="S493" s="193"/>
      <c r="T493" s="193"/>
      <c r="U493" s="193">
        <f>IFERROR(((U317*$B$490)/U269),"")</f>
        <v>73</v>
      </c>
      <c r="V493" s="193"/>
      <c r="W493" s="193"/>
      <c r="X493" s="193"/>
      <c r="Y493" s="193"/>
      <c r="Z493" s="193">
        <f>IFERROR(((Z317*$B$490)/Z269),"")</f>
        <v>73</v>
      </c>
    </row>
    <row r="494" spans="1:26" hidden="1" outlineLevel="1" x14ac:dyDescent="0.3">
      <c r="F494" s="193"/>
      <c r="G494" s="193"/>
      <c r="H494" s="193"/>
      <c r="I494" s="193"/>
      <c r="J494" s="193"/>
      <c r="K494" s="193"/>
      <c r="L494" s="193"/>
      <c r="M494" s="193"/>
      <c r="N494" s="193"/>
      <c r="O494" s="193"/>
      <c r="P494" s="193"/>
      <c r="Q494" s="193"/>
      <c r="R494" s="193"/>
      <c r="S494" s="193"/>
      <c r="T494" s="193"/>
      <c r="U494" s="193"/>
      <c r="V494" s="193"/>
      <c r="W494" s="193"/>
      <c r="X494" s="193"/>
      <c r="Y494" s="193"/>
      <c r="Z494" s="193"/>
    </row>
    <row r="495" spans="1:26" ht="17.25" hidden="1" outlineLevel="1" x14ac:dyDescent="0.35">
      <c r="A495" s="191" t="s">
        <v>264</v>
      </c>
      <c r="F495" s="193"/>
      <c r="G495" s="193"/>
      <c r="H495" s="193"/>
      <c r="I495" s="193"/>
      <c r="J495" s="193"/>
      <c r="K495" s="193"/>
      <c r="L495" s="193"/>
      <c r="M495" s="193"/>
      <c r="N495" s="193"/>
      <c r="O495" s="193"/>
      <c r="P495" s="193"/>
      <c r="Q495" s="193"/>
      <c r="R495" s="193"/>
      <c r="S495" s="193"/>
      <c r="T495" s="193"/>
      <c r="U495" s="193"/>
      <c r="V495" s="193"/>
      <c r="W495" s="193"/>
      <c r="X495" s="193"/>
      <c r="Y495" s="193"/>
      <c r="Z495" s="193"/>
    </row>
    <row r="496" spans="1:26" hidden="1" outlineLevel="1" x14ac:dyDescent="0.3">
      <c r="A496" s="3" t="s">
        <v>265</v>
      </c>
      <c r="F496" s="195">
        <f>IFERROR(F312/F306,"")</f>
        <v>-41.120771989124677</v>
      </c>
      <c r="G496" s="193"/>
      <c r="H496" s="193"/>
      <c r="I496" s="193"/>
      <c r="J496" s="193"/>
      <c r="K496" s="195">
        <f>IFERROR(K312/K306,"")</f>
        <v>3.6098680721027985</v>
      </c>
      <c r="L496" s="193"/>
      <c r="M496" s="193"/>
      <c r="N496" s="193"/>
      <c r="O496" s="193"/>
      <c r="P496" s="195">
        <f>IFERROR(P312/P306,"")</f>
        <v>0.80091837059573345</v>
      </c>
      <c r="Q496" s="193"/>
      <c r="R496" s="193"/>
      <c r="S496" s="193"/>
      <c r="T496" s="193"/>
      <c r="U496" s="195">
        <f>IFERROR(U312/U306,"")</f>
        <v>0.31164748043452278</v>
      </c>
      <c r="V496" s="193"/>
      <c r="W496" s="193"/>
      <c r="X496" s="193"/>
      <c r="Y496" s="193"/>
      <c r="Z496" s="195">
        <f>IFERROR(Z312/Z306,"")</f>
        <v>0.14644192108984219</v>
      </c>
    </row>
    <row r="497" spans="1:26" hidden="1" outlineLevel="1" x14ac:dyDescent="0.3">
      <c r="A497" s="3" t="s">
        <v>266</v>
      </c>
      <c r="F497" s="195">
        <f>IFERROR((F312/(F306+F309)),"")</f>
        <v>1.0249247447250283</v>
      </c>
      <c r="G497" s="193"/>
      <c r="H497" s="193"/>
      <c r="I497" s="193"/>
      <c r="J497" s="193"/>
      <c r="K497" s="195">
        <f>IFERROR((K312/(K306+K309)),"")</f>
        <v>0.78307405236786987</v>
      </c>
      <c r="L497" s="193"/>
      <c r="M497" s="193"/>
      <c r="N497" s="193"/>
      <c r="O497" s="193"/>
      <c r="P497" s="195">
        <f>IFERROR((P312/(P306+P309)),"")</f>
        <v>0.44472774761623107</v>
      </c>
      <c r="Q497" s="193"/>
      <c r="R497" s="193"/>
      <c r="S497" s="193"/>
      <c r="T497" s="193"/>
      <c r="U497" s="195">
        <f>IFERROR((U312/(U306+U309)),"")</f>
        <v>0.23760002979709161</v>
      </c>
      <c r="V497" s="193"/>
      <c r="W497" s="193"/>
      <c r="X497" s="193"/>
      <c r="Y497" s="193"/>
      <c r="Z497" s="195">
        <f>IFERROR((Z312/(Z306+Z309)),"")</f>
        <v>0.12773601383193497</v>
      </c>
    </row>
    <row r="498" spans="1:26" hidden="1" outlineLevel="1" x14ac:dyDescent="0.3">
      <c r="A498" s="3" t="s">
        <v>267</v>
      </c>
      <c r="F498" s="195">
        <f>IFERROR((F309+F306)/F306,"")</f>
        <v>-40.120771989124677</v>
      </c>
      <c r="G498" s="193"/>
      <c r="H498" s="193"/>
      <c r="I498" s="193"/>
      <c r="J498" s="193"/>
      <c r="K498" s="195">
        <f>IFERROR((K309+K306)/K306,"")</f>
        <v>4.6098680721027989</v>
      </c>
      <c r="L498" s="193"/>
      <c r="M498" s="193"/>
      <c r="N498" s="193"/>
      <c r="O498" s="193"/>
      <c r="P498" s="195">
        <f>IFERROR((P309+P306)/P306,"")</f>
        <v>1.8009183705957335</v>
      </c>
      <c r="Q498" s="193"/>
      <c r="R498" s="193"/>
      <c r="S498" s="193"/>
      <c r="T498" s="193"/>
      <c r="U498" s="195">
        <f>IFERROR((U309+U306)/U306,"")</f>
        <v>1.3116474804345228</v>
      </c>
      <c r="V498" s="193"/>
      <c r="W498" s="193"/>
      <c r="X498" s="193"/>
      <c r="Y498" s="193"/>
      <c r="Z498" s="195">
        <f>IFERROR((Z309+Z306)/Z306,"")</f>
        <v>1.1464419210898422</v>
      </c>
    </row>
    <row r="499" spans="1:26" hidden="1" outlineLevel="1" x14ac:dyDescent="0.3">
      <c r="A499" s="3" t="s">
        <v>268</v>
      </c>
      <c r="F499" s="195">
        <f>IFERROR(F274/F276,"")</f>
        <v>-0.35656391402714926</v>
      </c>
      <c r="G499" s="193"/>
      <c r="H499" s="193"/>
      <c r="I499" s="193"/>
      <c r="J499" s="193"/>
      <c r="K499" s="195">
        <f>IFERROR(K274/K276,"")</f>
        <v>3.2447978141264859</v>
      </c>
      <c r="L499" s="193"/>
      <c r="M499" s="193"/>
      <c r="N499" s="193"/>
      <c r="O499" s="193"/>
      <c r="P499" s="195">
        <f>IFERROR(P274/P276,"")</f>
        <v>7.7806832664451573</v>
      </c>
      <c r="Q499" s="193"/>
      <c r="R499" s="193"/>
      <c r="S499" s="193"/>
      <c r="T499" s="193"/>
      <c r="U499" s="195">
        <f>IFERROR(U274/U276,"")</f>
        <v>13.392958142876145</v>
      </c>
      <c r="V499" s="193"/>
      <c r="W499" s="193"/>
      <c r="X499" s="193"/>
      <c r="Y499" s="193"/>
      <c r="Z499" s="195">
        <f>IFERROR(Z274/Z276,"")</f>
        <v>20.823013024061989</v>
      </c>
    </row>
    <row r="500" spans="1:26" hidden="1" outlineLevel="1" x14ac:dyDescent="0.3">
      <c r="F500" s="193"/>
      <c r="G500" s="193"/>
      <c r="H500" s="193"/>
      <c r="I500" s="193"/>
      <c r="J500" s="193"/>
      <c r="K500" s="193"/>
      <c r="L500" s="193"/>
      <c r="M500" s="193"/>
      <c r="N500" s="193"/>
      <c r="O500" s="193"/>
      <c r="P500" s="193"/>
      <c r="Q500" s="193"/>
      <c r="R500" s="193"/>
      <c r="S500" s="193"/>
      <c r="T500" s="193"/>
      <c r="U500" s="193"/>
      <c r="V500" s="193"/>
      <c r="W500" s="193"/>
      <c r="X500" s="193"/>
      <c r="Y500" s="193"/>
      <c r="Z500" s="193"/>
    </row>
    <row r="501" spans="1:26" ht="17.25" hidden="1" outlineLevel="1" x14ac:dyDescent="0.35">
      <c r="A501" s="191" t="s">
        <v>269</v>
      </c>
      <c r="F501" s="193"/>
      <c r="G501" s="193"/>
      <c r="H501" s="193"/>
      <c r="I501" s="193"/>
      <c r="J501" s="193"/>
      <c r="K501" s="193"/>
      <c r="L501" s="193"/>
      <c r="M501" s="193"/>
      <c r="N501" s="193"/>
      <c r="O501" s="193"/>
      <c r="P501" s="193"/>
      <c r="Q501" s="193"/>
      <c r="R501" s="193"/>
      <c r="S501" s="193"/>
      <c r="T501" s="193"/>
      <c r="U501" s="193"/>
      <c r="V501" s="193"/>
      <c r="W501" s="193"/>
      <c r="X501" s="193"/>
      <c r="Y501" s="193"/>
      <c r="Z501" s="193"/>
    </row>
    <row r="502" spans="1:26" hidden="1" outlineLevel="1" x14ac:dyDescent="0.3">
      <c r="A502" s="3" t="s">
        <v>270</v>
      </c>
      <c r="F502" s="196">
        <f>IFERROR((F282/10000),"")</f>
        <v>-7195.2150000000001</v>
      </c>
      <c r="G502" s="193"/>
      <c r="H502" s="193"/>
      <c r="I502" s="193"/>
      <c r="J502" s="193"/>
      <c r="K502" s="196">
        <f>IFERROR((K282/10000),"")</f>
        <v>7962.2955746452362</v>
      </c>
      <c r="L502" s="193"/>
      <c r="M502" s="193"/>
      <c r="N502" s="193"/>
      <c r="O502" s="193"/>
      <c r="P502" s="196">
        <f>IFERROR((P282/10000),"")</f>
        <v>22735.711029167658</v>
      </c>
      <c r="Q502" s="193"/>
      <c r="R502" s="193"/>
      <c r="S502" s="193"/>
      <c r="T502" s="193"/>
      <c r="U502" s="196">
        <f>IFERROR((U282/10000),"")</f>
        <v>38740.967121763584</v>
      </c>
      <c r="V502" s="193"/>
      <c r="W502" s="193"/>
      <c r="X502" s="193"/>
      <c r="Y502" s="193"/>
      <c r="Z502" s="196">
        <f>IFERROR((Z282/10000),"")</f>
        <v>56703.683988112331</v>
      </c>
    </row>
    <row r="503" spans="1:26" hidden="1" outlineLevel="1" x14ac:dyDescent="0.3">
      <c r="A503" s="3" t="s">
        <v>271</v>
      </c>
      <c r="F503" s="192">
        <v>0</v>
      </c>
      <c r="G503" s="193"/>
      <c r="H503" s="193"/>
      <c r="I503" s="193"/>
      <c r="J503" s="193"/>
      <c r="K503" s="192">
        <v>0</v>
      </c>
      <c r="L503" s="193"/>
      <c r="M503" s="193"/>
      <c r="N503" s="193"/>
      <c r="O503" s="193"/>
      <c r="P503" s="192">
        <v>0</v>
      </c>
      <c r="Q503" s="193"/>
      <c r="R503" s="193"/>
      <c r="S503" s="193"/>
      <c r="T503" s="193"/>
      <c r="U503" s="192">
        <v>0</v>
      </c>
      <c r="V503" s="193"/>
      <c r="W503" s="193"/>
      <c r="X503" s="193"/>
      <c r="Y503" s="193"/>
      <c r="Z503" s="192">
        <v>0</v>
      </c>
    </row>
    <row r="504" spans="1:26" hidden="1" outlineLevel="1" x14ac:dyDescent="0.3"/>
  </sheetData>
  <mergeCells count="33">
    <mergeCell ref="X78:Z78"/>
    <mergeCell ref="J414:K414"/>
    <mergeCell ref="C256:F256"/>
    <mergeCell ref="H256:K256"/>
    <mergeCell ref="M256:P256"/>
    <mergeCell ref="R256:U256"/>
    <mergeCell ref="F404:U404"/>
    <mergeCell ref="C403:G403"/>
    <mergeCell ref="X16:Z16"/>
    <mergeCell ref="C7:H7"/>
    <mergeCell ref="C69:H69"/>
    <mergeCell ref="W256:Z256"/>
    <mergeCell ref="A1:Z1"/>
    <mergeCell ref="N202:P202"/>
    <mergeCell ref="S202:U202"/>
    <mergeCell ref="X202:Z202"/>
    <mergeCell ref="W2:Z2"/>
    <mergeCell ref="C2:F2"/>
    <mergeCell ref="H2:K2"/>
    <mergeCell ref="M2:P2"/>
    <mergeCell ref="R2:U2"/>
    <mergeCell ref="N140:P140"/>
    <mergeCell ref="S140:U140"/>
    <mergeCell ref="X140:Z140"/>
    <mergeCell ref="C463:G463"/>
    <mergeCell ref="N16:P16"/>
    <mergeCell ref="C131:H131"/>
    <mergeCell ref="S16:U16"/>
    <mergeCell ref="N78:P78"/>
    <mergeCell ref="S78:U78"/>
    <mergeCell ref="C433:I433"/>
    <mergeCell ref="C431:I431"/>
    <mergeCell ref="C432:I432"/>
  </mergeCells>
  <conditionalFormatting sqref="F3">
    <cfRule type="expression" dxfId="7" priority="15">
      <formula>$F$3="Balanced"</formula>
    </cfRule>
  </conditionalFormatting>
  <conditionalFormatting sqref="K3">
    <cfRule type="expression" dxfId="6" priority="7">
      <formula>$F$3="Balanced"</formula>
    </cfRule>
  </conditionalFormatting>
  <conditionalFormatting sqref="P3">
    <cfRule type="expression" dxfId="5" priority="6">
      <formula>$F$3="Balanced"</formula>
    </cfRule>
  </conditionalFormatting>
  <conditionalFormatting sqref="U3">
    <cfRule type="expression" dxfId="4" priority="5">
      <formula>$F$3="Balanced"</formula>
    </cfRule>
  </conditionalFormatting>
  <conditionalFormatting sqref="Z3">
    <cfRule type="expression" dxfId="3" priority="4">
      <formula>$F$3="Balanced"</formula>
    </cfRule>
  </conditionalFormatting>
  <conditionalFormatting sqref="E467">
    <cfRule type="expression" dxfId="2" priority="3">
      <formula>$B$4=1</formula>
    </cfRule>
  </conditionalFormatting>
  <conditionalFormatting sqref="F468">
    <cfRule type="expression" dxfId="1" priority="2">
      <formula>$B$4=2</formula>
    </cfRule>
  </conditionalFormatting>
  <conditionalFormatting sqref="D466">
    <cfRule type="expression" dxfId="0" priority="1">
      <formula>$B$4=3</formula>
    </cfRule>
  </conditionalFormatting>
  <pageMargins left="0.7" right="0.7" top="0.75" bottom="0.75" header="0.3" footer="0.3"/>
  <pageSetup paperSize="9" orientation="portrait" r:id="rId1"/>
  <ignoredErrors>
    <ignoredError sqref="F291 B467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140</vt:i4>
      </vt:variant>
    </vt:vector>
  </HeadingPairs>
  <TitlesOfParts>
    <vt:vector size="143" baseType="lpstr">
      <vt:lpstr>Cover Page</vt:lpstr>
      <vt:lpstr>Source Data</vt:lpstr>
      <vt:lpstr>Financial Modelling</vt:lpstr>
      <vt:lpstr>ASSASS</vt:lpstr>
      <vt:lpstr>ASSSASS</vt:lpstr>
      <vt:lpstr>BASSASS</vt:lpstr>
      <vt:lpstr>BMRTE</vt:lpstr>
      <vt:lpstr>BOLT</vt:lpstr>
      <vt:lpstr>BOMB</vt:lpstr>
      <vt:lpstr>COL</vt:lpstr>
      <vt:lpstr>COP</vt:lpstr>
      <vt:lpstr>CSDF6GH</vt:lpstr>
      <vt:lpstr>CVBCVFG</vt:lpstr>
      <vt:lpstr>CVBCVN</vt:lpstr>
      <vt:lpstr>CVBHF</vt:lpstr>
      <vt:lpstr>CVN</vt:lpstr>
      <vt:lpstr>DD435FDGG</vt:lpstr>
      <vt:lpstr>DF</vt:lpstr>
      <vt:lpstr>DFDF467DF</vt:lpstr>
      <vt:lpstr>DFF</vt:lpstr>
      <vt:lpstr>DFFG56X</vt:lpstr>
      <vt:lpstr>DFG</vt:lpstr>
      <vt:lpstr>DFGDF</vt:lpstr>
      <vt:lpstr>DFGDG</vt:lpstr>
      <vt:lpstr>DFGF</vt:lpstr>
      <vt:lpstr>DFGFD</vt:lpstr>
      <vt:lpstr>DFGFD5564GHGF</vt:lpstr>
      <vt:lpstr>DFGFGH</vt:lpstr>
      <vt:lpstr>DFGHF</vt:lpstr>
      <vt:lpstr>DFHH</vt:lpstr>
      <vt:lpstr>DFHTR</vt:lpstr>
      <vt:lpstr>DFJH</vt:lpstr>
      <vt:lpstr>DFJHK</vt:lpstr>
      <vt:lpstr>DG34UIO</vt:lpstr>
      <vt:lpstr>DOM</vt:lpstr>
      <vt:lpstr>DSFSD</vt:lpstr>
      <vt:lpstr>ER456GR</vt:lpstr>
      <vt:lpstr>ER665RR</vt:lpstr>
      <vt:lpstr>ERER34FGFG</vt:lpstr>
      <vt:lpstr>ERR</vt:lpstr>
      <vt:lpstr>ERRE</vt:lpstr>
      <vt:lpstr>ERT</vt:lpstr>
      <vt:lpstr>ERTYTR</vt:lpstr>
      <vt:lpstr>ERYRT</vt:lpstr>
      <vt:lpstr>ERYU84KS</vt:lpstr>
      <vt:lpstr>EW45ER</vt:lpstr>
      <vt:lpstr>EWQ</vt:lpstr>
      <vt:lpstr>EWTWE346RR</vt:lpstr>
      <vt:lpstr>FDGD</vt:lpstr>
      <vt:lpstr>FDGFDG</vt:lpstr>
      <vt:lpstr>FG37J</vt:lpstr>
      <vt:lpstr>FGH</vt:lpstr>
      <vt:lpstr>FGHFG</vt:lpstr>
      <vt:lpstr>FGHFH</vt:lpstr>
      <vt:lpstr>FH</vt:lpstr>
      <vt:lpstr>FHFG</vt:lpstr>
      <vt:lpstr>FNG</vt:lpstr>
      <vt:lpstr>FOB</vt:lpstr>
      <vt:lpstr>FOP</vt:lpstr>
      <vt:lpstr>GA</vt:lpstr>
      <vt:lpstr>GABA</vt:lpstr>
      <vt:lpstr>GDF</vt:lpstr>
      <vt:lpstr>GFF</vt:lpstr>
      <vt:lpstr>GH56Y</vt:lpstr>
      <vt:lpstr>GHJ</vt:lpstr>
      <vt:lpstr>GHJHJ</vt:lpstr>
      <vt:lpstr>GHJJK</vt:lpstr>
      <vt:lpstr>GHU56D</vt:lpstr>
      <vt:lpstr>GJ</vt:lpstr>
      <vt:lpstr>HAH</vt:lpstr>
      <vt:lpstr>HFDU37SI</vt:lpstr>
      <vt:lpstr>HFGJH7839SDJHK</vt:lpstr>
      <vt:lpstr>HGDFJH6G</vt:lpstr>
      <vt:lpstr>HGH45T</vt:lpstr>
      <vt:lpstr>HI</vt:lpstr>
      <vt:lpstr>HJ</vt:lpstr>
      <vt:lpstr>HJK</vt:lpstr>
      <vt:lpstr>HOP</vt:lpstr>
      <vt:lpstr>HSJKLHK</vt:lpstr>
      <vt:lpstr>IERYUI</vt:lpstr>
      <vt:lpstr>JHDF</vt:lpstr>
      <vt:lpstr>JKL</vt:lpstr>
      <vt:lpstr>JKSDFK</vt:lpstr>
      <vt:lpstr>JOB</vt:lpstr>
      <vt:lpstr>JUB</vt:lpstr>
      <vt:lpstr>JUMA</vt:lpstr>
      <vt:lpstr>KOP</vt:lpstr>
      <vt:lpstr>KSDJFJK</vt:lpstr>
      <vt:lpstr>LOB</vt:lpstr>
      <vt:lpstr>MOP</vt:lpstr>
      <vt:lpstr>NOM</vt:lpstr>
      <vt:lpstr>NOP</vt:lpstr>
      <vt:lpstr>OIERUOI</vt:lpstr>
      <vt:lpstr>OL</vt:lpstr>
      <vt:lpstr>OPPO</vt:lpstr>
      <vt:lpstr>QDDGF</vt:lpstr>
      <vt:lpstr>QW</vt:lpstr>
      <vt:lpstr>QWEWER</vt:lpstr>
      <vt:lpstr>RDFG</vt:lpstr>
      <vt:lpstr>ROB</vt:lpstr>
      <vt:lpstr>ROP</vt:lpstr>
      <vt:lpstr>RT</vt:lpstr>
      <vt:lpstr>RTIOP</vt:lpstr>
      <vt:lpstr>RUI</vt:lpstr>
      <vt:lpstr>SDF</vt:lpstr>
      <vt:lpstr>SDFDFG</vt:lpstr>
      <vt:lpstr>SDFG756ASD</vt:lpstr>
      <vt:lpstr>SDFJK</vt:lpstr>
      <vt:lpstr>SDFSG</vt:lpstr>
      <vt:lpstr>SDJK</vt:lpstr>
      <vt:lpstr>SDKJFH</vt:lpstr>
      <vt:lpstr>SDLFKHKL</vt:lpstr>
      <vt:lpstr>SDSG</vt:lpstr>
      <vt:lpstr>SOP</vt:lpstr>
      <vt:lpstr>TOB</vt:lpstr>
      <vt:lpstr>TOM</vt:lpstr>
      <vt:lpstr>TOP</vt:lpstr>
      <vt:lpstr>TOYP</vt:lpstr>
      <vt:lpstr>TRTYFG</vt:lpstr>
      <vt:lpstr>TRY</vt:lpstr>
      <vt:lpstr>TRYTY</vt:lpstr>
      <vt:lpstr>TUI</vt:lpstr>
      <vt:lpstr>TUO</vt:lpstr>
      <vt:lpstr>TUY</vt:lpstr>
      <vt:lpstr>TY</vt:lpstr>
      <vt:lpstr>TYRRT</vt:lpstr>
      <vt:lpstr>TYUD</vt:lpstr>
      <vt:lpstr>VBHG</vt:lpstr>
      <vt:lpstr>VCNBV</vt:lpstr>
      <vt:lpstr>WASSAAS</vt:lpstr>
      <vt:lpstr>WEERW</vt:lpstr>
      <vt:lpstr>WER</vt:lpstr>
      <vt:lpstr>WER456FDG</vt:lpstr>
      <vt:lpstr>WER68RT</vt:lpstr>
      <vt:lpstr>WERUIYIU</vt:lpstr>
      <vt:lpstr>WERWER</vt:lpstr>
      <vt:lpstr>WOB</vt:lpstr>
      <vt:lpstr>Y</vt:lpstr>
      <vt:lpstr>YU</vt:lpstr>
      <vt:lpstr>YUIU</vt:lpstr>
      <vt:lpstr>ZDFG</vt:lpstr>
      <vt:lpstr>ZSE</vt:lpstr>
      <vt:lpstr>ZXC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JUMA ABDULRAHMAN BAKARI</cp:lastModifiedBy>
  <dcterms:created xsi:type="dcterms:W3CDTF">2023-04-19T05:21:08Z</dcterms:created>
  <dcterms:modified xsi:type="dcterms:W3CDTF">2023-11-22T09:29:14Z</dcterms:modified>
</cp:coreProperties>
</file>